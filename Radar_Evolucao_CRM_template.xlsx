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268f7ac13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4da45ffe4854e33"/>
    <x:sheet xmlns:r="http://schemas.openxmlformats.org/officeDocument/2006/relationships" name="Leads" sheetId="2" r:id="R24a03c656de54e9a"/>
    <x:sheet xmlns:r="http://schemas.openxmlformats.org/officeDocument/2006/relationships" name="Diagnosticos" sheetId="3" r:id="Rd25645f4486b4446"/>
    <x:sheet xmlns:r="http://schemas.openxmlformats.org/officeDocument/2006/relationships" name="Respostas" sheetId="4" r:id="R3c5b05c7a9ac43b6"/>
    <x:sheet xmlns:r="http://schemas.openxmlformats.org/officeDocument/2006/relationships" name="Interacoes" sheetId="5" r:id="R2e4f181533b34d94"/>
    <x:sheet xmlns:r="http://schemas.openxmlformats.org/officeDocument/2006/relationships" name="Configuracoes" sheetId="6" r:id="Rceb90c706f314604"/>
    <x:sheet xmlns:r="http://schemas.openxmlformats.org/officeDocument/2006/relationships" name="Indicadores" sheetId="7" r:id="R46111da756e4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dd/mm/yyyy hh:mm"/>
  </x:numFmts>
  <x:fonts count="6">
    <x:font>
      <x:sz val="11"/>
      <x:name val="Carlito"/>
    </x:font>
    <x:font>
      <x:b/>
      <x:sz val="16"/>
      <x:color rgb="FFF1DB7B"/>
      <x:name val="Carlito"/>
    </x:font>
    <x:font>
      <x:b/>
      <x:sz val="11"/>
      <x:color rgb="FF1111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8A6D0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6B43D"/>
      </x:patternFill>
    </x:fill>
    <x:fill>
      <x:patternFill patternType="solid">
        <x:fgColor rgb="FFF7F1D8"/>
      </x:patternFill>
    </x:fill>
    <x:fill>
      <x:patternFill patternType="solid">
        <x:fgColor rgb="FF111111"/>
      </x:patternFill>
    </x:fill>
    <x:fill>
      <x:patternFill patternType="solid">
        <x:fgColor rgb="FFF8F5E9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0" fontId="3" fillId="0" xfId="0" applyNumberFormat="1" applyFont="1" applyFill="1" applyBorder="0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0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46679b00f475a" /><Relationship Type="http://schemas.openxmlformats.org/officeDocument/2006/relationships/theme" Target="/xl/theme/theme1.xml" Id="Rf63be783061f4ad5" /><Relationship Type="http://schemas.openxmlformats.org/officeDocument/2006/relationships/sharedStrings" Target="/xl/sharedStrings.xml" Id="Rcf202ca80ae74374" /><Relationship Type="http://schemas.openxmlformats.org/officeDocument/2006/relationships/worksheet" Target="/xl/worksheets/sheet1.xml" Id="Ra4da45ffe4854e33" /><Relationship Type="http://schemas.openxmlformats.org/officeDocument/2006/relationships/worksheet" Target="/xl/worksheets/sheet2.xml" Id="R24a03c656de54e9a" /><Relationship Type="http://schemas.openxmlformats.org/officeDocument/2006/relationships/worksheet" Target="/xl/worksheets/sheet3.xml" Id="Rd25645f4486b4446" /><Relationship Type="http://schemas.openxmlformats.org/officeDocument/2006/relationships/worksheet" Target="/xl/worksheets/sheet4.xml" Id="R3c5b05c7a9ac43b6" /><Relationship Type="http://schemas.openxmlformats.org/officeDocument/2006/relationships/worksheet" Target="/xl/worksheets/sheet5.xml" Id="R2e4f181533b34d94" /><Relationship Type="http://schemas.openxmlformats.org/officeDocument/2006/relationships/worksheet" Target="/xl/worksheets/sheet6.xml" Id="Rceb90c706f314604" /><Relationship Type="http://schemas.openxmlformats.org/officeDocument/2006/relationships/worksheet" Target="/xl/worksheets/sheet7.xml" Id="R46111da756e44b68" /></Relationships>
</file>

<file path=xl/tables/table1.xml><?xml version="1.0" encoding="utf-8"?>
<x:table xmlns:x="http://schemas.openxmlformats.org/spreadsheetml/2006/main" id="1" name="LeadsTable" displayName="LeadsTable" ref="A1:L200" headerRowCount="1" totalsRowCount="0" totalsRowShown="0">
  <x:tableColumns count="12">
    <x:tableColumn id="1" name="Lead_ID"/>
    <x:tableColumn id="2" name="Data_Cadastro"/>
    <x:tableColumn id="3" name="Nome"/>
    <x:tableColumn id="4" name="Empresa"/>
    <x:tableColumn id="5" name="Email"/>
    <x:tableColumn id="6" name="WhatsApp"/>
    <x:tableColumn id="7" name="Cargo"/>
    <x:tableColumn id="8" name="Origem"/>
    <x:tableColumn id="9" name="Consentimento"/>
    <x:tableColumn id="10" name="Ultimo_Contato"/>
    <x:tableColumn id="11" name="Proxima_Acao"/>
    <x:tableColumn id="12" name="Status_Comerci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gnosticosTable" displayName="DiagnosticosTable" ref="A1:R200" headerRowCount="1" totalsRowCount="0" totalsRowShown="0">
  <x:tableColumns count="18">
    <x:tableColumn id="1" name="Diagnostico_ID"/>
    <x:tableColumn id="2" name="Data"/>
    <x:tableColumn id="3" name="Lead_ID"/>
    <x:tableColumn id="4" name="Indice_Geral"/>
    <x:tableColumn id="5" name="Nivel"/>
    <x:tableColumn id="6" name="Pessoas"/>
    <x:tableColumn id="7" name="Pensamento_Critico"/>
    <x:tableColumn id="8" name="Decisao"/>
    <x:tableColumn id="9" name="Processos"/>
    <x:tableColumn id="10" name="Tecnologia_IA"/>
    <x:tableColumn id="11" name="Dados"/>
    <x:tableColumn id="12" name="Aprendizagem"/>
    <x:tableColumn id="13" name="Inovacao"/>
    <x:tableColumn id="14" name="Principal_Forca"/>
    <x:tableColumn id="15" name="Principal_Atencao"/>
    <x:tableColumn id="16" name="PDF_Gerado"/>
    <x:tableColumn id="17" name="PDF_Baixado"/>
    <x:tableColumn id="18" name="WhatsApp_Acion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postasTable" displayName="RespostasTable" ref="A1:F200" headerRowCount="1" totalsRowCount="0" totalsRowShown="0">
  <x:tableColumns count="6">
    <x:tableColumn id="1" name="Diagnostico_ID"/>
    <x:tableColumn id="2" name="Data"/>
    <x:tableColumn id="3" name="Lead_ID"/>
    <x:tableColumn id="4" name="Pergunta"/>
    <x:tableColumn id="5" name="Dimensao"/>
    <x:tableColumn id="6" name="Resposta_0a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acoesTable" displayName="InteracoesTable" ref="A1:E200" headerRowCount="1" totalsRowCount="0" totalsRowShown="0">
  <x:tableColumns count="5">
    <x:tableColumn id="1" name="Data"/>
    <x:tableColumn id="2" name="Diagnostico_ID"/>
    <x:tableColumn id="3" name="Lead_ID"/>
    <x:tableColumn id="4" name="Evento"/>
    <x:tableColumn id="5" name="Detalh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f5e6b6acde4f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cecc0712b144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fa64083cdc4e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e2e0ca7c8c491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RADAR DE EVOLUÇÃO — CRM</x:v>
      </x:c>
      <x:c r="B1" s="5"/>
      <x:c r="C1" s="5"/>
      <x:c r="D1" s="5"/>
      <x:c r="E1" s="5"/>
      <x:c r="F1" s="5"/>
      <x:c r="G1" s="5"/>
      <x:c r="H1" s="5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4" t="str">
        <x:v>Indicador</x:v>
      </x:c>
      <x:c r="B3" s="34" t="str">
        <x:v>Valor</x:v>
      </x:c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 ht="22" customHeight="1">
      <x:c r="A4" s="35" t="str">
        <x:v>Total de leads</x:v>
      </x:c>
      <x:c r="B4" s="33" t="n">
        <x:f>COUNTA(Leads!A2:A1000)</x:f>
        <x:v>1</x:v>
      </x:c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22" customHeight="1">
      <x:c r="A5" s="35" t="str">
        <x:v>Diagnósticos realizados</x:v>
      </x:c>
      <x:c r="B5" s="33" t="n">
        <x:f>COUNTA(Diagnosticos!A2:A1000)</x:f>
        <x:v>1</x:v>
      </x:c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 ht="22" customHeight="1">
      <x:c r="A6" s="35" t="str">
        <x:v>Média do índice</x:v>
      </x:c>
      <x:c r="B6" s="36" t="n">
        <x:f>IFERROR(AVERAGE(Diagnosticos!D2:D1000),0)</x:f>
        <x:v>5.8</x:v>
      </x:c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 ht="22" customHeight="1">
      <x:c r="A7" s="35" t="str">
        <x:v>Último índice</x:v>
      </x:c>
      <x:c r="B7" s="36" t="n">
        <x:f>IFERROR(LOOKUP(2,1/(Diagnosticos!D2:D1000&lt;&gt;""),Diagnosticos!D2:D1000),0)</x:f>
        <x:v>5.8</x:v>
      </x:c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22" customHeight="1">
      <x:c r="A8" s="35" t="str">
        <x:v>Diagnósticos com WhatsApp</x:v>
      </x:c>
      <x:c r="B8" s="33" t="n">
        <x:f>COUNTIF(Diagnosticos!R2:R1000,"SIM")</x:f>
        <x:v>0</x:v>
      </x:c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 t="str">
        <x:v>LEITURA OPERACIONAL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7" t="str">
        <x:v>Dimensão</x:v>
      </x:c>
      <x:c r="B12" s="37" t="str">
        <x:v>Pontos registrados</x:v>
      </x:c>
      <x:c r="C12" s="37" t="str">
        <x:v>Média</x:v>
      </x:c>
      <x:c r="D12" s="37" t="str">
        <x:v>Meta de referência</x:v>
      </x:c>
      <x:c r="E12" s="37" t="str">
        <x:v>Gap</x:v>
      </x:c>
      <x:c r="F12" s="33" t="str"/>
      <x:c r="G12" s="33" t="str"/>
      <x:c r="H12" s="33" t="str"/>
      <x:c r="I12" s="33" t="str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 t="str">
        <x:v>Pessoas</x:v>
      </x:c>
      <x:c r="B13" s="33" t="n">
        <x:f>COUNT(Diagnosticos!F2:F1000)</x:f>
        <x:v>1</x:v>
      </x:c>
      <x:c r="C13" s="36" t="n">
        <x:f>IFERROR(AVERAGE(Diagnosticos!F2:F1000),0)</x:f>
        <x:v>6.7</x:v>
      </x:c>
      <x:c r="D13" s="36" t="n">
        <x:v>8</x:v>
      </x:c>
      <x:c r="E13" s="36" t="n">
        <x:f>D13-C13</x:f>
        <x:v>1.2999999999999998</x:v>
      </x:c>
      <x:c r="F13" s="33" t="str"/>
      <x:c r="G13" s="33" t="str"/>
      <x:c r="H13" s="33" t="str"/>
      <x:c r="I13" s="33" t="str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 t="str">
        <x:v>Pensamento crítico</x:v>
      </x:c>
      <x:c r="B14" s="33" t="n">
        <x:f>COUNT(Diagnosticos!G2:G1000)</x:f>
        <x:v>1</x:v>
      </x:c>
      <x:c r="C14" s="36" t="n">
        <x:f>IFERROR(AVERAGE(Diagnosticos!G2:G1000),0)</x:f>
        <x:v>5.1</x:v>
      </x:c>
      <x:c r="D14" s="36" t="n">
        <x:v>8</x:v>
      </x:c>
      <x:c r="E14" s="36" t="n">
        <x:f>D14-C14</x:f>
        <x:v>2.9000000000000004</x:v>
      </x:c>
      <x:c r="F14" s="33" t="str"/>
      <x:c r="G14" s="33" t="str"/>
      <x:c r="H14" s="33" t="str"/>
      <x:c r="I14" s="33" t="str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 t="str">
        <x:v>Decisão</x:v>
      </x:c>
      <x:c r="B15" s="33" t="n">
        <x:f>COUNT(Diagnosticos!H2:H1000)</x:f>
        <x:v>1</x:v>
      </x:c>
      <x:c r="C15" s="36" t="n">
        <x:f>IFERROR(AVERAGE(Diagnosticos!H2:H1000),0)</x:f>
        <x:v>5.4</x:v>
      </x:c>
      <x:c r="D15" s="36" t="n">
        <x:v>8</x:v>
      </x:c>
      <x:c r="E15" s="36" t="n">
        <x:f>D15-C15</x:f>
        <x:v>2.5999999999999996</x:v>
      </x:c>
      <x:c r="F15" s="33" t="str"/>
      <x:c r="G15" s="33" t="str"/>
      <x:c r="H15" s="33" t="str"/>
      <x:c r="I15" s="33" t="str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 t="str">
        <x:v>Processos</x:v>
      </x:c>
      <x:c r="B16" s="33" t="n">
        <x:f>COUNT(Diagnosticos!I2:I1000)</x:f>
        <x:v>1</x:v>
      </x:c>
      <x:c r="C16" s="36" t="n">
        <x:f>IFERROR(AVERAGE(Diagnosticos!I2:I1000),0)</x:f>
        <x:v>7.2</x:v>
      </x:c>
      <x:c r="D16" s="36" t="n">
        <x:v>8</x:v>
      </x:c>
      <x:c r="E16" s="36" t="n">
        <x:f>D16-C16</x:f>
        <x:v>0.7999999999999998</x:v>
      </x:c>
      <x:c r="F16" s="33" t="str"/>
      <x:c r="G16" s="33" t="str"/>
      <x:c r="H16" s="33" t="str"/>
      <x:c r="I16" s="33" t="str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 t="str">
        <x:v>Tecnologia/IA</x:v>
      </x:c>
      <x:c r="B17" s="33" t="n">
        <x:f>COUNT(Diagnosticos!J2:J1000)</x:f>
        <x:v>1</x:v>
      </x:c>
      <x:c r="C17" s="36" t="n">
        <x:f>IFERROR(AVERAGE(Diagnosticos!J2:J1000),0)</x:f>
        <x:v>4.1</x:v>
      </x:c>
      <x:c r="D17" s="36" t="n">
        <x:v>8</x:v>
      </x:c>
      <x:c r="E17" s="36" t="n">
        <x:f>D17-C17</x:f>
        <x:v>3.9000000000000004</x:v>
      </x:c>
      <x:c r="F17" s="33" t="str"/>
      <x:c r="G17" s="33" t="str"/>
      <x:c r="H17" s="33" t="str"/>
      <x:c r="I17" s="33" t="str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 t="str">
        <x:v>Dados</x:v>
      </x:c>
      <x:c r="B18" s="33" t="n">
        <x:f>COUNT(Diagnosticos!K2:K1000)</x:f>
        <x:v>1</x:v>
      </x:c>
      <x:c r="C18" s="36" t="n">
        <x:f>IFERROR(AVERAGE(Diagnosticos!K2:K1000),0)</x:f>
        <x:v>4.8</x:v>
      </x:c>
      <x:c r="D18" s="36" t="n">
        <x:v>8</x:v>
      </x:c>
      <x:c r="E18" s="36" t="n">
        <x:f>D18-C18</x:f>
        <x:v>3.2</x:v>
      </x:c>
      <x:c r="F18" s="33" t="str"/>
      <x:c r="G18" s="33" t="str"/>
      <x:c r="H18" s="33" t="str"/>
      <x:c r="I18" s="33" t="str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 t="str">
        <x:v>Aprendizagem</x:v>
      </x:c>
      <x:c r="B19" s="33" t="n">
        <x:f>COUNT(Diagnosticos!L2:L1000)</x:f>
        <x:v>1</x:v>
      </x:c>
      <x:c r="C19" s="36" t="n">
        <x:f>IFERROR(AVERAGE(Diagnosticos!L2:L1000),0)</x:f>
        <x:v>6</x:v>
      </x:c>
      <x:c r="D19" s="36" t="n">
        <x:v>8</x:v>
      </x:c>
      <x:c r="E19" s="36" t="n">
        <x:f>D19-C19</x:f>
        <x:v>2</x:v>
      </x:c>
      <x:c r="F19" s="33" t="str"/>
      <x:c r="G19" s="33" t="str"/>
      <x:c r="H19" s="33" t="str"/>
      <x:c r="I19" s="33" t="str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 t="str">
        <x:v>Inovação</x:v>
      </x:c>
      <x:c r="B20" s="33" t="n">
        <x:f>COUNT(Diagnosticos!M2:M1000)</x:f>
        <x:v>1</x:v>
      </x:c>
      <x:c r="C20" s="36" t="n">
        <x:f>IFERROR(AVERAGE(Diagnosticos!M2:M1000),0)</x:f>
        <x:v>4.9</x:v>
      </x:c>
      <x:c r="D20" s="36" t="n">
        <x:v>8</x:v>
      </x:c>
      <x:c r="E20" s="36" t="n">
        <x:f>D20-C20</x:f>
        <x:v>3.0999999999999996</x:v>
      </x:c>
      <x:c r="F20" s="33" t="str"/>
      <x:c r="G20" s="33" t="str"/>
      <x:c r="H20" s="33" t="str"/>
      <x:c r="I20" s="33" t="str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 t="str">
        <x:v>INSTRUÇÃO</x:v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8" t="str">
        <x:v>Use o Dashboard para acompanhar volume, média e evolução. O índice é uma linha de base, não um selo de qualidade. Para comparar ciclos, filtre a aba Diagnosticos por empresa e data.</x:v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30" customHeight="1">
      <x:c r="A26" s="62" t="str">
        <x:v>CONTEXTO BRASIL + MUNDO</x:v>
      </x:c>
      <x:c r="B26" s="62" t="str"/>
      <x:c r="C26" s="62" t="str"/>
      <x:c r="D26" s="62" t="str"/>
      <x:c r="E26" s="62" t="str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30" customHeight="1">
      <x:c r="A27" s="64" t="str">
        <x:v>Os dados publicados no site devem ter fonte, data e contexto. A aba Indicadores funciona como base editorial do painel de cenário.</x:v>
      </x:c>
      <x:c r="B27" s="64" t="str"/>
      <x:c r="C27" s="64" t="str"/>
      <x:c r="D27" s="64" t="str"/>
      <x:c r="E27" s="64" t="str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30" customHeight="1">
      <x:c r="A28" s="64" t="str">
        <x:v>Regra comercial: dados contextualizam a urgência, mas não substituem o diagnóstico individual nem provam necessidade de contratação.</x:v>
      </x:c>
      <x:c r="B28" s="64" t="str"/>
      <x:c r="C28" s="64" t="str"/>
      <x:c r="D28" s="64" t="str"/>
      <x:c r="E28" s="64" t="str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30" customHeight="1">
      <x:c r="A29" s="64" t="str">
        <x:v>Fonte de atualização: WEF, CNI e outras fontes oficiais/reconhecidas. Revisar periodicamente antes de publicar novos números.</x:v>
      </x:c>
      <x:c r="B29" s="64" t="str"/>
      <x:c r="C29" s="64" t="str"/>
      <x:c r="D29" s="64" t="str"/>
      <x:c r="E29" s="64" t="str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mergeCells>
    <x:mergeCell ref="A1:H1"/>
    <x:mergeCell ref="A11:I11"/>
    <x:mergeCell ref="A23:H23"/>
    <x:mergeCell ref="A24:H27"/>
    <x:mergeCell ref="A26:E26"/>
    <x:mergeCell ref="A27:E27"/>
    <x:mergeCell ref="A28:E28"/>
    <x:mergeCell ref="A29:E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6" hidden="0" customWidth="1"/>
    <x:col min="4" max="4" width="28" hidden="0" customWidth="1"/>
    <x:col min="5" max="5" width="32" hidden="0" customWidth="1"/>
    <x:col min="6" max="6" width="20" hidden="0" customWidth="1"/>
    <x:col min="7" max="7" width="22" hidden="0" customWidth="1"/>
    <x:col min="8" max="8" width="18" hidden="0" customWidth="1"/>
    <x:col min="9" max="9" width="16" hidden="0" customWidth="1"/>
    <x:col min="10" max="10" width="20" hidden="0" customWidth="1"/>
    <x:col min="11" max="11" width="22" hidden="0" customWidth="1"/>
    <x:col min="12" max="12" width="22" hidden="0" customWidth="1"/>
  </x:cols>
  <x:sheetData>
    <x:row r="1">
      <x:c r="A1" s="45" t="str">
        <x:v>Lead_ID</x:v>
      </x:c>
      <x:c r="B1" s="45" t="str">
        <x:v>Data_Cadastro</x:v>
      </x:c>
      <x:c r="C1" s="45" t="str">
        <x:v>Nome</x:v>
      </x:c>
      <x:c r="D1" s="45" t="str">
        <x:v>Empresa</x:v>
      </x:c>
      <x:c r="E1" s="45" t="str">
        <x:v>Email</x:v>
      </x:c>
      <x:c r="F1" s="45" t="str">
        <x:v>WhatsApp</x:v>
      </x:c>
      <x:c r="G1" s="45" t="str">
        <x:v>Cargo</x:v>
      </x:c>
      <x:c r="H1" s="45" t="str">
        <x:v>Origem</x:v>
      </x:c>
      <x:c r="I1" s="45" t="str">
        <x:v>Consentimento</x:v>
      </x:c>
      <x:c r="J1" s="45" t="str">
        <x:v>Ultimo_Contato</x:v>
      </x:c>
      <x:c r="K1" s="45" t="str">
        <x:v>Proxima_Acao</x:v>
      </x:c>
      <x:c r="L1" s="45" t="str">
        <x:v>Status_Comercial</x:v>
      </x:c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 t="str">
        <x:v>LEAD-EXEMPLO</x:v>
      </x:c>
      <x:c r="B2" s="46" t="n">
        <x:v>46273</x:v>
      </x:c>
      <x:c r="C2" s="33" t="str">
        <x:v>Exemplo</x:v>
      </x:c>
      <x:c r="D2" s="33" t="str">
        <x:v>Empresa Exemplo</x:v>
      </x:c>
      <x:c r="E2" s="33" t="str">
        <x:v>exemplo@empresa.com</x:v>
      </x:c>
      <x:c r="F2" s="33" t="str">
        <x:v>+55 22 99968-0509</x:v>
      </x:c>
      <x:c r="G2" s="33" t="str">
        <x:v>Gestor</x:v>
      </x:c>
      <x:c r="H2" s="33" t="str">
        <x:v>Landing page</x:v>
      </x:c>
      <x:c r="I2" s="33" t="str">
        <x:v>SIM</x:v>
      </x:c>
      <x:c r="J2" s="33" t="str"/>
      <x:c r="K2" s="33" t="str">
        <x:v>Retorno diagnóstico</x:v>
      </x:c>
      <x:c r="L2" s="33" t="str">
        <x:v>Novo</x:v>
      </x:c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46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46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46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46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46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46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46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46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46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46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46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46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46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46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46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46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46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46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46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46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46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46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46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46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46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46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46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46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46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46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46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46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46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46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46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46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46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46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46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46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46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46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46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46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46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46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46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46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46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46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46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46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46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46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46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46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46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46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46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46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46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46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46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46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46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46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46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46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46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46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46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46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46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46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46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46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46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46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46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46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46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46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46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46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46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46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46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46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46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46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46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46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46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46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46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46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46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46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46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46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46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46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46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46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46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46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46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46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46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46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46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46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46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46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46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46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46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46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46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46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46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46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46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46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46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46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46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46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46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46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46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46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46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46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46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46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46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46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46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46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46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46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46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46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46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46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46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46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46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46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46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46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46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46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46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46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46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46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46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46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46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46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46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46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46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46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46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46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46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46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46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46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46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46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46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46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46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46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46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46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46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46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46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46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46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46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46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46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46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46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46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46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46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46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46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46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46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46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dataValidations count="2">
    <x:dataValidation type="list" sqref="I2:L200">
      <x:formula1>"SIM,NÃO"</x:formula1>
    </x:dataValidation>
    <x:dataValidation type="list" sqref="L2:L200">
      <x:formula1>"Novo,Em contato,Diagnóstico discutido,Proposta,Cliente,Sem retorno,Encerrado"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f5e6b6acde4f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4" hidden="0" customWidth="1"/>
    <x:col min="5" max="5" width="16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16" hidden="0" customWidth="1"/>
    <x:col min="13" max="13" width="12" hidden="0" customWidth="1"/>
    <x:col min="14" max="14" width="22" hidden="0" customWidth="1"/>
    <x:col min="15" max="15" width="22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1">
      <x:c r="A1" s="45" t="str">
        <x:v>Diagnostico_ID</x:v>
      </x:c>
      <x:c r="B1" s="45" t="str">
        <x:v>Data</x:v>
      </x:c>
      <x:c r="C1" s="45" t="str">
        <x:v>Lead_ID</x:v>
      </x:c>
      <x:c r="D1" s="45" t="str">
        <x:v>Indice_Geral</x:v>
      </x:c>
      <x:c r="E1" s="45" t="str">
        <x:v>Nivel</x:v>
      </x:c>
      <x:c r="F1" s="45" t="str">
        <x:v>Pessoas</x:v>
      </x:c>
      <x:c r="G1" s="45" t="str">
        <x:v>Pensamento_Critico</x:v>
      </x:c>
      <x:c r="H1" s="45" t="str">
        <x:v>Decisao</x:v>
      </x:c>
      <x:c r="I1" s="45" t="str">
        <x:v>Processos</x:v>
      </x:c>
      <x:c r="J1" s="45" t="str">
        <x:v>Tecnologia_IA</x:v>
      </x:c>
      <x:c r="K1" s="45" t="str">
        <x:v>Dados</x:v>
      </x:c>
      <x:c r="L1" s="45" t="str">
        <x:v>Aprendizagem</x:v>
      </x:c>
      <x:c r="M1" s="45" t="str">
        <x:v>Inovacao</x:v>
      </x:c>
      <x:c r="N1" s="45" t="str">
        <x:v>Principal_Forca</x:v>
      </x:c>
      <x:c r="O1" s="45" t="str">
        <x:v>Principal_Atencao</x:v>
      </x:c>
      <x:c r="P1" s="45" t="str">
        <x:v>PDF_Gerado</x:v>
      </x:c>
      <x:c r="Q1" s="45" t="str">
        <x:v>PDF_Baixado</x:v>
      </x:c>
      <x:c r="R1" s="45" t="str">
        <x:v>WhatsApp_Acionado</x:v>
      </x:c>
      <x:c r="S1" s="33"/>
      <x:c r="T1" s="33"/>
      <x:c r="U1" s="33"/>
      <x:c r="V1" s="33"/>
      <x:c r="W1" s="33"/>
      <x:c r="X1" s="33"/>
      <x:c r="Y1" s="33"/>
      <x:c r="Z1" s="33"/>
    </x:row>
    <x:row r="2">
      <x:c r="A2" s="33" t="str">
        <x:v>RE-EXEMPLO</x:v>
      </x:c>
      <x:c r="B2" s="46" t="n">
        <x:v>46273</x:v>
      </x:c>
      <x:c r="C2" s="33" t="str">
        <x:v>LEAD-EXEMPLO</x:v>
      </x:c>
      <x:c r="D2" s="36" t="n">
        <x:v>5.8</x:v>
      </x:c>
      <x:c r="E2" s="36" t="str">
        <x:v>Estruturado</x:v>
      </x:c>
      <x:c r="F2" s="36" t="n">
        <x:v>6.7</x:v>
      </x:c>
      <x:c r="G2" s="36" t="n">
        <x:v>5.1</x:v>
      </x:c>
      <x:c r="H2" s="36" t="n">
        <x:v>5.4</x:v>
      </x:c>
      <x:c r="I2" s="36" t="n">
        <x:v>7.2</x:v>
      </x:c>
      <x:c r="J2" s="36" t="n">
        <x:v>4.1</x:v>
      </x:c>
      <x:c r="K2" s="36" t="n">
        <x:v>4.8</x:v>
      </x:c>
      <x:c r="L2" s="36" t="n">
        <x:v>6</x:v>
      </x:c>
      <x:c r="M2" s="36" t="n">
        <x:v>4.9</x:v>
      </x:c>
      <x:c r="N2" s="33" t="str">
        <x:v>Processos</x:v>
      </x:c>
      <x:c r="O2" s="33" t="str">
        <x:v>Tecnologia</x:v>
      </x:c>
      <x:c r="P2" s="33" t="str">
        <x:v>NÃO</x:v>
      </x:c>
      <x:c r="Q2" s="33" t="str">
        <x:v>NÃO</x:v>
      </x:c>
      <x:c r="R2" s="33" t="str">
        <x:v>NÃO</x:v>
      </x:c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46"/>
      <x:c r="C3" s="33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46"/>
      <x:c r="C4" s="33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46"/>
      <x:c r="C5" s="33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46"/>
      <x:c r="C6" s="33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46"/>
      <x:c r="C7" s="33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46"/>
      <x:c r="C8" s="33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46"/>
      <x:c r="C9" s="33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46"/>
      <x:c r="C10" s="33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46"/>
      <x:c r="C11" s="33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46"/>
      <x:c r="C12" s="33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46"/>
      <x:c r="C13" s="33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46"/>
      <x:c r="C14" s="33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46"/>
      <x:c r="C15" s="33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46"/>
      <x:c r="C16" s="33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46"/>
      <x:c r="C17" s="33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46"/>
      <x:c r="C18" s="33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46"/>
      <x:c r="C19" s="33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46"/>
      <x:c r="C20" s="33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46"/>
      <x:c r="C21" s="33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46"/>
      <x:c r="C22" s="33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46"/>
      <x:c r="C23" s="33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46"/>
      <x:c r="C24" s="33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46"/>
      <x:c r="C25" s="33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46"/>
      <x:c r="C26" s="33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46"/>
      <x:c r="C27" s="33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46"/>
      <x:c r="C28" s="33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46"/>
      <x:c r="C29" s="33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46"/>
      <x:c r="C30" s="33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46"/>
      <x:c r="C31" s="33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46"/>
      <x:c r="C32" s="33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46"/>
      <x:c r="C33" s="33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46"/>
      <x:c r="C34" s="33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46"/>
      <x:c r="C35" s="33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46"/>
      <x:c r="C36" s="33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46"/>
      <x:c r="C37" s="33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46"/>
      <x:c r="C38" s="33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46"/>
      <x:c r="C39" s="33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46"/>
      <x:c r="C40" s="33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46"/>
      <x:c r="C41" s="33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46"/>
      <x:c r="C42" s="33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46"/>
      <x:c r="C43" s="33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46"/>
      <x:c r="C44" s="33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46"/>
      <x:c r="C45" s="33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46"/>
      <x:c r="C46" s="33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46"/>
      <x:c r="C47" s="33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46"/>
      <x:c r="C48" s="33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46"/>
      <x:c r="C49" s="33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46"/>
      <x:c r="C50" s="33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46"/>
      <x:c r="C51" s="33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46"/>
      <x:c r="C52" s="33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46"/>
      <x:c r="C53" s="33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46"/>
      <x:c r="C54" s="33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46"/>
      <x:c r="C55" s="33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46"/>
      <x:c r="C56" s="33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46"/>
      <x:c r="C57" s="33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46"/>
      <x:c r="C58" s="33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46"/>
      <x:c r="C59" s="33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46"/>
      <x:c r="C60" s="33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46"/>
      <x:c r="C61" s="33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46"/>
      <x:c r="C62" s="33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46"/>
      <x:c r="C63" s="33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46"/>
      <x:c r="C64" s="33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46"/>
      <x:c r="C65" s="33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46"/>
      <x:c r="C66" s="33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46"/>
      <x:c r="C67" s="33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46"/>
      <x:c r="C68" s="33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46"/>
      <x:c r="C69" s="33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46"/>
      <x:c r="C70" s="33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46"/>
      <x:c r="C71" s="33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46"/>
      <x:c r="C72" s="33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46"/>
      <x:c r="C73" s="33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46"/>
      <x:c r="C74" s="33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46"/>
      <x:c r="C75" s="33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46"/>
      <x:c r="C76" s="33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46"/>
      <x:c r="C77" s="33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46"/>
      <x:c r="C78" s="33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46"/>
      <x:c r="C79" s="33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46"/>
      <x:c r="C80" s="33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46"/>
      <x:c r="C81" s="33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46"/>
      <x:c r="C82" s="33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46"/>
      <x:c r="C83" s="33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46"/>
      <x:c r="C84" s="33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46"/>
      <x:c r="C85" s="33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46"/>
      <x:c r="C86" s="33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46"/>
      <x:c r="C87" s="33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46"/>
      <x:c r="C88" s="33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46"/>
      <x:c r="C89" s="33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46"/>
      <x:c r="C90" s="33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46"/>
      <x:c r="C91" s="33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46"/>
      <x:c r="C92" s="33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46"/>
      <x:c r="C93" s="33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46"/>
      <x:c r="C94" s="33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46"/>
      <x:c r="C95" s="33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46"/>
      <x:c r="C96" s="33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46"/>
      <x:c r="C97" s="33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46"/>
      <x:c r="C98" s="33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46"/>
      <x:c r="C99" s="33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46"/>
      <x:c r="C100" s="33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46"/>
      <x:c r="C101" s="33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46"/>
      <x:c r="C102" s="33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46"/>
      <x:c r="C103" s="33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46"/>
      <x:c r="C104" s="33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46"/>
      <x:c r="C105" s="33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46"/>
      <x:c r="C106" s="33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46"/>
      <x:c r="C107" s="33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46"/>
      <x:c r="C108" s="33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46"/>
      <x:c r="C109" s="33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46"/>
      <x:c r="C110" s="33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46"/>
      <x:c r="C111" s="33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46"/>
      <x:c r="C112" s="33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46"/>
      <x:c r="C113" s="33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46"/>
      <x:c r="C114" s="33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46"/>
      <x:c r="C115" s="33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46"/>
      <x:c r="C116" s="33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46"/>
      <x:c r="C117" s="33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46"/>
      <x:c r="C118" s="33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46"/>
      <x:c r="C119" s="33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46"/>
      <x:c r="C120" s="33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46"/>
      <x:c r="C121" s="33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46"/>
      <x:c r="C122" s="33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46"/>
      <x:c r="C123" s="33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46"/>
      <x:c r="C124" s="33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46"/>
      <x:c r="C125" s="33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46"/>
      <x:c r="C126" s="33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46"/>
      <x:c r="C127" s="33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46"/>
      <x:c r="C128" s="33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46"/>
      <x:c r="C129" s="33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46"/>
      <x:c r="C130" s="33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46"/>
      <x:c r="C131" s="33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46"/>
      <x:c r="C132" s="33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46"/>
      <x:c r="C133" s="33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46"/>
      <x:c r="C134" s="33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46"/>
      <x:c r="C135" s="33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46"/>
      <x:c r="C136" s="33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46"/>
      <x:c r="C137" s="33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46"/>
      <x:c r="C138" s="33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46"/>
      <x:c r="C139" s="33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46"/>
      <x:c r="C140" s="33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46"/>
      <x:c r="C141" s="33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46"/>
      <x:c r="C142" s="33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46"/>
      <x:c r="C143" s="33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46"/>
      <x:c r="C144" s="33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46"/>
      <x:c r="C145" s="33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46"/>
      <x:c r="C146" s="33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46"/>
      <x:c r="C147" s="33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46"/>
      <x:c r="C148" s="33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46"/>
      <x:c r="C149" s="33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46"/>
      <x:c r="C150" s="33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46"/>
      <x:c r="C151" s="33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46"/>
      <x:c r="C152" s="33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46"/>
      <x:c r="C153" s="33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46"/>
      <x:c r="C154" s="33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46"/>
      <x:c r="C155" s="33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46"/>
      <x:c r="C156" s="33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46"/>
      <x:c r="C157" s="33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46"/>
      <x:c r="C158" s="33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46"/>
      <x:c r="C159" s="33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46"/>
      <x:c r="C160" s="33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46"/>
      <x:c r="C161" s="33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46"/>
      <x:c r="C162" s="33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46"/>
      <x:c r="C163" s="33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46"/>
      <x:c r="C164" s="33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46"/>
      <x:c r="C165" s="33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46"/>
      <x:c r="C166" s="33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46"/>
      <x:c r="C167" s="33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46"/>
      <x:c r="C168" s="33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46"/>
      <x:c r="C169" s="33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46"/>
      <x:c r="C170" s="33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46"/>
      <x:c r="C171" s="33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46"/>
      <x:c r="C172" s="33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46"/>
      <x:c r="C173" s="33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46"/>
      <x:c r="C174" s="33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46"/>
      <x:c r="C175" s="33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46"/>
      <x:c r="C176" s="33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46"/>
      <x:c r="C177" s="33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46"/>
      <x:c r="C178" s="33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46"/>
      <x:c r="C179" s="33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46"/>
      <x:c r="C180" s="33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46"/>
      <x:c r="C181" s="33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46"/>
      <x:c r="C182" s="33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46"/>
      <x:c r="C183" s="33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46"/>
      <x:c r="C184" s="33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46"/>
      <x:c r="C185" s="33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46"/>
      <x:c r="C186" s="33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46"/>
      <x:c r="C187" s="33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46"/>
      <x:c r="C188" s="33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46"/>
      <x:c r="C189" s="33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46"/>
      <x:c r="C190" s="33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46"/>
      <x:c r="C191" s="33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46"/>
      <x:c r="C192" s="33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46"/>
      <x:c r="C193" s="33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46"/>
      <x:c r="C194" s="33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46"/>
      <x:c r="C195" s="33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46"/>
      <x:c r="C196" s="33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46"/>
      <x:c r="C197" s="33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46"/>
      <x:c r="C198" s="33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46"/>
      <x:c r="C199" s="33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46"/>
      <x:c r="C200" s="33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conditionalFormatting sqref="D2:D200">
    <x:cfRule type="colorScale" priority="1">
      <x:colorScale>
        <x:cfvo type="min"/>
        <x:cfvo type="percentile" val="50"/>
        <x:cfvo type="max"/>
        <x:color rgb="FFF6D9D9"/>
        <x:color rgb="FFF7F1D8"/>
        <x:color rgb="FFDDEEDC"/>
      </x:colorScale>
    </x:cfRule>
  </x:conditionalFormatting>
  <x:dataValidations count="3">
    <x:dataValidation type="list" sqref="P2:P200">
      <x:formula1>"SIM,NÃO"</x:formula1>
    </x:dataValidation>
    <x:dataValidation type="list" sqref="Q2:Q200">
      <x:formula1>"SIM,NÃO"</x:formula1>
    </x:dataValidation>
    <x:dataValidation type="list" sqref="R2:R2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cecc0712b144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56" hidden="0" customWidth="1"/>
    <x:col min="5" max="5" width="22" hidden="0" customWidth="1"/>
    <x:col min="6" max="6" width="16" hidden="0" customWidth="1"/>
  </x:cols>
  <x:sheetData>
    <x:row r="1">
      <x:c r="A1" s="49" t="str">
        <x:v>Diagnostico_ID</x:v>
      </x:c>
      <x:c r="B1" s="49" t="str">
        <x:v>Data</x:v>
      </x:c>
      <x:c r="C1" s="49" t="str">
        <x:v>Lead_ID</x:v>
      </x:c>
      <x:c r="D1" s="49" t="str">
        <x:v>Pergunta</x:v>
      </x:c>
      <x:c r="E1" s="49" t="str">
        <x:v>Dimensao</x:v>
      </x:c>
      <x:c r="F1" s="49" t="str">
        <x:v>Resposta_0a4</x:v>
      </x:c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46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46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46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46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46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46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46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46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46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46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46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46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46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46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46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46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46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46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46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46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46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46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46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46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46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46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46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46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46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46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46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46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46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46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46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46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46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46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46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46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46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46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46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46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46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46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46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46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46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46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46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46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46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46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46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46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46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46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46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46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46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46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46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46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46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46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46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46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46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46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46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46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46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46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46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46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46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46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46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46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46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46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46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46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46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46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46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46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46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46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46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46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46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46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46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46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46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46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46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46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46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46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46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46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46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46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46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46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46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46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46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46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46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46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46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46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46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46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46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46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46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46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46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46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46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46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46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46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46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46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46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46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46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46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46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46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46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46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46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46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46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46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46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46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46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46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46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46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46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46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46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46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46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46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46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46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46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46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46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46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46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46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46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46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46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46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46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46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46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46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46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46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46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46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46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46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46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46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46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46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46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46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46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46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46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46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46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46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46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46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46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46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46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46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46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46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46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46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46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dataValidations count="1">
    <x:dataValidation type="list" sqref="F2:F200">
      <x:formula1>"0,1,2,3,4"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fa64083cdc4e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26" hidden="0" customWidth="1"/>
    <x:col min="5" max="5" width="50" hidden="0" customWidth="1"/>
  </x:cols>
  <x:sheetData>
    <x:row r="1">
      <x:c r="A1" s="49" t="str">
        <x:v>Data</x:v>
      </x:c>
      <x:c r="B1" s="49" t="str">
        <x:v>Diagnostico_ID</x:v>
      </x:c>
      <x:c r="C1" s="49" t="str">
        <x:v>Lead_ID</x:v>
      </x:c>
      <x:c r="D1" s="49" t="str">
        <x:v>Evento</x:v>
      </x:c>
      <x:c r="E1" s="49" t="str">
        <x:v>Detalhe</x:v>
      </x:c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46" t="n">
        <x:v>46273</x:v>
      </x:c>
      <x:c r="B2" s="33" t="str">
        <x:v>RE-EXEMPLO</x:v>
      </x:c>
      <x:c r="C2" s="33" t="str">
        <x:v>LEAD-EXEMPLO</x:v>
      </x:c>
      <x:c r="D2" s="33" t="str">
        <x:v>diagnostico_concluido</x:v>
      </x:c>
      <x:c r="E2" s="33" t="str">
        <x:v>Avaliação concluída</x:v>
      </x:c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46" t="n">
        <x:v>46273</x:v>
      </x:c>
      <x:c r="B3" s="33" t="str">
        <x:v>RE-EXEMPLO</x:v>
      </x:c>
      <x:c r="C3" s="33" t="str">
        <x:v>LEAD-EXEMPLO</x:v>
      </x:c>
      <x:c r="D3" s="33" t="str">
        <x:v>lead_registrado</x:v>
      </x:c>
      <x:c r="E3" s="33" t="str">
        <x:v>Cadastro realizado pelo relatório</x:v>
      </x:c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46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46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46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46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46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46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46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46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46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46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46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46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46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46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46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46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46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46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46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46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46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46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46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46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46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46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46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46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46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46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46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46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46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46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46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46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46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46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46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46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46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46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46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46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46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46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46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46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46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46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46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46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46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46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46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46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46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46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46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46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46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46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46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46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46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46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46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46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46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46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46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46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46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46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46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46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46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46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46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46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46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46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46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46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46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46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46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46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46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46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46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46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46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46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46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46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46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46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46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46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46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46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46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46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46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46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46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46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46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46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46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46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46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46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46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46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46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46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46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46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46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46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46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46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46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46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46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46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46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46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46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46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46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46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46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46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46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46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46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46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46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46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46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46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46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46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46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46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46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46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46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46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46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46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46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46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46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46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46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46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46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46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46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46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46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46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46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46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46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46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46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46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46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46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46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46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46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46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46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46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46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46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46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46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46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46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46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46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46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46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46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46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46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46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46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46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46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pageMargins left="0.7" right="0.7" top="0.75" bottom="0.75" header="0.3" footer="0.3"/>
  <x:tableParts count="1">
    <x:tablePart xmlns:r="http://schemas.openxmlformats.org/officeDocument/2006/relationships" r:id="Re5e2e0ca7c8c49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70" hidden="0" customWidth="1"/>
  </x:cols>
  <x:sheetData>
    <x:row r="1">
      <x:c r="A1" s="51" t="str">
        <x:v>Parâmetro</x:v>
      </x:c>
      <x:c r="B1" s="51" t="str">
        <x:v>Valor</x:v>
      </x:c>
      <x:c r="C1" s="51" t="str">
        <x:v>Observação</x:v>
      </x:c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 t="str">
        <x:v>WhatsApp</x:v>
      </x:c>
      <x:c r="B2" s="33" t="str">
        <x:v>5522999680509</x:v>
      </x:c>
      <x:c r="C2" s="33" t="str">
        <x:v>Número internacional, sem + ou espaços</x:v>
      </x:c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 t="str">
        <x:v>Nível 1</x:v>
      </x:c>
      <x:c r="B3" s="33" t="str">
        <x:v>0 a 2,4</x:v>
      </x:c>
      <x:c r="C3" s="33" t="str">
        <x:v>Reativo</x:v>
      </x:c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Nível 2</x:v>
      </x:c>
      <x:c r="B4" s="33" t="str">
        <x:v>2,5 a 4,4</x:v>
      </x:c>
      <x:c r="C4" s="33" t="str">
        <x:v>Organizado</x:v>
      </x:c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Nível 3</x:v>
      </x:c>
      <x:c r="B5" s="33" t="str">
        <x:v>4,5 a 6,4</x:v>
      </x:c>
      <x:c r="C5" s="33" t="str">
        <x:v>Estruturado</x:v>
      </x:c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Nível 4</x:v>
      </x:c>
      <x:c r="B6" s="33" t="str">
        <x:v>6,5 a 8,2</x:v>
      </x:c>
      <x:c r="C6" s="33" t="str">
        <x:v>Adaptativo</x:v>
      </x:c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Nível 5</x:v>
      </x:c>
      <x:c r="B7" s="33" t="str">
        <x:v>8,3 a 10</x:v>
      </x:c>
      <x:c r="C7" s="33" t="str">
        <x:v>Evolutivo</x:v>
      </x:c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Dimensões</x:v>
      </x:c>
      <x:c r="B8" s="33" t="str">
        <x:v>8</x:v>
      </x:c>
      <x:c r="C8" s="33" t="str">
        <x:v>Pessoas, pensamento, decisão, processos, tecnologia, dados, aprendizagem, inovação</x:v>
      </x:c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Perguntas</x:v>
      </x:c>
      <x:c r="B9" s="33" t="str">
        <x:v>24</x:v>
      </x:c>
      <x:c r="C9" s="33" t="str">
        <x:v>3 por dimensão</x:v>
      </x:c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8" t="str">
        <x:v>Observação: revise os textos e critérios antes de publicar a versão definitiva.</x:v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mergeCells>
    <x:mergeCell ref="A10:C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56" hidden="0" customWidth="1"/>
    <x:col min="5" max="5" width="40" hidden="0" customWidth="1"/>
    <x:col min="6" max="6" width="58" hidden="0" customWidth="1"/>
    <x:col min="7" max="7" width="16" hidden="0" customWidth="1"/>
    <x:col min="8" max="8" width="12" hidden="0" customWidth="1"/>
  </x:cols>
  <x:sheetData>
    <x:row r="1" ht="42" customHeight="1">
      <x:c r="A1" s="57" t="str">
        <x:v>Scope</x:v>
      </x:c>
      <x:c r="B1" s="57" t="str">
        <x:v>Value</x:v>
      </x:c>
      <x:c r="C1" s="57" t="str">
        <x:v>Title</x:v>
      </x:c>
      <x:c r="D1" s="57" t="str">
        <x:v>Detail</x:v>
      </x:c>
      <x:c r="E1" s="57" t="str">
        <x:v>Source</x:v>
      </x:c>
      <x:c r="F1" s="57" t="str">
        <x:v>URL</x:v>
      </x:c>
      <x:c r="G1" s="57" t="str">
        <x:v>Updated_At</x:v>
      </x:c>
      <x:c r="H1" s="57" t="str">
        <x:v>Active</x:v>
      </x:c>
    </x:row>
    <x:row r="2" ht="42" customHeight="1">
      <x:c r="A2" s="59" t="str">
        <x:v>Mundo</x:v>
      </x:c>
      <x:c r="B2" s="60" t="str">
        <x:v>63%</x:v>
      </x:c>
      <x:c r="C2" s="58" t="str">
        <x:v>Lacunas de competências são apontadas como principal barreira à transformação</x:v>
      </x:c>
      <x:c r="D2" s="58" t="str">
        <x:v>O World Economic Forum também projeta mudança em quase 40% das competências essenciais até 2030.</x:v>
      </x:c>
      <x:c r="E2" s="58" t="str">
        <x:v>World Economic Forum — Future of Jobs Report 2025</x:v>
      </x:c>
      <x:c r="F2" s="58" t="str">
        <x:v>https://www.weforum.org/press/2025/01/future-of-jobs-report-2025-78-million-new-job-opportunities-by-2030-but-urgent-upskilling-needed-to-prepare-workforces/</x:v>
      </x:c>
      <x:c r="G2" s="58" t="str">
        <x:v>09/09/2026</x:v>
      </x:c>
      <x:c r="H2" s="58" t="str">
        <x:v>SIM</x:v>
      </x:c>
    </x:row>
    <x:row r="3" ht="42" customHeight="1">
      <x:c r="A3" s="59" t="str">
        <x:v>Mundo</x:v>
      </x:c>
      <x:c r="B3" s="60" t="str">
        <x:v>77%</x:v>
      </x:c>
      <x:c r="C3" s="58" t="str">
        <x:v>Empregadores planejam qualificar trabalhadores em resposta à IA</x:v>
      </x:c>
      <x:c r="D3" s="58" t="str">
        <x:v>Upskilling aparece como uma das respostas centrais à transformação tecnológica.</x:v>
      </x:c>
      <x:c r="E3" s="58" t="str">
        <x:v>World Economic Forum — Future of Jobs Report 2025</x:v>
      </x:c>
      <x:c r="F3" s="58" t="str">
        <x:v>https://www.weforum.org/press/2025/01/future-of-jobs-report-2025-78-million-new-job-opportunities-by-2030-but-urgent-upskilling-needed-to-prepare-workforces/</x:v>
      </x:c>
      <x:c r="G3" s="58" t="str">
        <x:v>09/09/2026</x:v>
      </x:c>
      <x:c r="H3" s="58" t="str">
        <x:v>SIM</x:v>
      </x:c>
    </x:row>
    <x:row r="4" ht="42" customHeight="1">
      <x:c r="A4" s="59" t="str">
        <x:v>Mundo</x:v>
      </x:c>
      <x:c r="B4" s="60" t="str">
        <x:v>&gt;1/3</x:v>
      </x:c>
      <x:c r="C4" s="58" t="str">
        <x:v>Jovens trabalhadores em ocupações com exposição média ou alta à mudança de tarefas por IA</x:v>
      </x:c>
      <x:c r="D4" s="58" t="str">
        <x:v>O WEF destaca impacto crescente da IA nas trajetórias de entrada e desenvolvimento profissional.</x:v>
      </x:c>
      <x:c r="E4" s="58" t="str">
        <x:v>World Economic Forum — AI and the Future of Entry-Level Work, 2026</x:v>
      </x:c>
      <x:c r="F4" s="58" t="str">
        <x:v>https://www.weforum.org/publications/artificial-intelligence-and-the-future-of-entry-level-work-a-framework-for-safeguarding-and-reinventing-early-career-pathways/</x:v>
      </x:c>
      <x:c r="G4" s="58" t="str">
        <x:v>09/09/2026</x:v>
      </x:c>
      <x:c r="H4" s="58" t="str">
        <x:v>SIM</x:v>
      </x:c>
    </x:row>
    <x:row r="5" ht="42" customHeight="1">
      <x:c r="A5" s="59" t="str">
        <x:v>Brasil</x:v>
      </x:c>
      <x:c r="B5" s="60" t="str">
        <x:v>≈90%</x:v>
      </x:c>
      <x:c r="C5" s="58" t="str">
        <x:v>Empresas pretendem desenvolver competências da força de trabalho</x:v>
      </x:c>
      <x:c r="D5" s="58" t="str">
        <x:v>No Brasil, o desenvolvimento de talentos aparece como resposta relevante à mudança do mercado.</x:v>
      </x:c>
      <x:c r="E5" s="58" t="str">
        <x:v>World Economic Forum — Future of Jobs Report 2025, recorte Brasil</x:v>
      </x:c>
      <x:c r="F5" s="58" t="str">
        <x:v>https://www.weforum.org/publications/the-future-of-jobs-report-2025/in-full/5-region-economy-and-industry-insights/</x:v>
      </x:c>
      <x:c r="G5" s="58" t="str">
        <x:v>09/09/2026</x:v>
      </x:c>
      <x:c r="H5" s="58" t="str">
        <x:v>SIM</x:v>
      </x:c>
    </x:row>
    <x:row r="6" ht="42" customHeight="1">
      <x:c r="A6" s="59" t="str">
        <x:v>Brasil</x:v>
      </x:c>
      <x:c r="B6" s="60" t="str">
        <x:v>59,2%</x:v>
      </x:c>
      <x:c r="C6" s="58" t="str">
        <x:v>Empresas industriais usam apenas uma ou duas tecnologias digitais</x:v>
      </x:c>
      <x:c r="D6" s="58" t="str">
        <x:v>A CNI aponta baixa intensidade de digitalização como desafio para a indústria brasileira.</x:v>
      </x:c>
      <x:c r="E6" s="58" t="str">
        <x:v>CNI — Inovação para impulsionar a competitividade industrial no Brasil</x:v>
      </x:c>
      <x:c r="F6" s="58" t="str">
        <x:v>https://www.cni.portaldaindustria.com.br/atuacao/inovacao</x:v>
      </x:c>
      <x:c r="G6" s="58" t="str">
        <x:v>09/09/2026</x:v>
      </x:c>
      <x:c r="H6" s="58" t="str">
        <x:v>SIM</x:v>
      </x:c>
    </x:row>
    <x:row r="7" ht="42" customHeight="1">
      <x:c r="A7" s="59" t="str">
        <x:v>Brasil</x:v>
      </x:c>
      <x:c r="B7" s="60" t="str">
        <x:v>47,6%</x:v>
      </x:c>
      <x:c r="C7" s="58" t="str">
        <x:v>Empresas relatam dificuldades para inovar</x:v>
      </x:c>
      <x:c r="D7" s="58" t="str">
        <x:v>O dado ajuda a distinguir adoção de tecnologia de capacidade efetiva de inovação.</x:v>
      </x:c>
      <x:c r="E7" s="58" t="str">
        <x:v>CNI — Inovação para impulsionar a competitividade industrial no Brasil</x:v>
      </x:c>
      <x:c r="F7" s="58" t="str">
        <x:v>https://www.cni.portaldaindustria.com.br/atuacao/inovacao</x:v>
      </x:c>
      <x:c r="G7" s="58" t="str">
        <x:v>09/09/2026</x:v>
      </x:c>
      <x:c r="H7" s="58" t="str">
        <x:v>SIM</x:v>
      </x:c>
    </x:row>
    <x:row r="8" ht="42" customHeight="1">
      <x:c r="A8" s="59" t="str">
        <x:v>Brasil</x:v>
      </x:c>
      <x:c r="B8" s="60" t="str">
        <x:v>61%</x:v>
      </x:c>
      <x:c r="C8" s="58" t="str">
        <x:v>Indústrias inovaram nos últimos três anos</x:v>
      </x:c>
      <x:c r="D8" s="58" t="str">
        <x:v>Entre as inovadoras, 38% apontaram aumento de produtividade como principal resultado e 69% concentraram esforços em melhoria de processos.</x:v>
      </x:c>
      <x:c r="E8" s="58" t="str">
        <x:v>CNI — Pesquisa de inovação, 25/03/2026</x:v>
      </x:c>
      <x:c r="F8" s="58" t="str">
        <x:v>https://noticias.portaldaindustria.com.br/noticias/inovacao-e-tecnologia/61-das-industrias-no-brasil-inovaram-nos-ultimos-3-anos-revela-cni/</x:v>
      </x:c>
      <x:c r="G8" s="58" t="str">
        <x:v>09/09/2026</x:v>
      </x:c>
      <x:c r="H8" s="58" t="str">
        <x:v>SIM</x:v>
      </x:c>
    </x:row>
    <x:row r="9" ht="42" customHeight="1">
      <x:c r="A9" s="59" t="str">
        <x:v>Brasil</x:v>
      </x:c>
      <x:c r="B9" s="60" t="str">
        <x:v>74% / 9%</x:v>
      </x:c>
      <x:c r="C9" s="58" t="str">
        <x:v>Empresas investiram em máquinas novas em 2025; robotização foi alvo principal de 9%</x:v>
      </x:c>
      <x:c r="D9" s="58" t="str">
        <x:v>Renovação de equipamentos não significa automaticamente transformação tecnológica profunda.</x:v>
      </x:c>
      <x:c r="E9" s="58" t="str">
        <x:v>CNI — Sondagem Especial nº 105, 05/08/2026</x:v>
      </x:c>
      <x:c r="F9" s="58" t="str">
        <x:v>https://imprensa.portaldaindustria.com.br/posicionamentos/cni-industria-compra-maquinas-novas-mas-investimento-em-automatizacao-segue-baixo/</x:v>
      </x:c>
      <x:c r="G9" s="58" t="str">
        <x:v>09/09/2026</x:v>
      </x:c>
      <x:c r="H9" s="58" t="str">
        <x:v>SIM</x:v>
      </x:c>
    </x:row>
  </x:sheetData>
  <x:dataValidations count="1">
    <x:dataValidation type="list" sqref="H2:H9">
      <x:formula1>"SIM,NÃO"</x:formula1>
    </x:dataValidation>
  </x:dataValidations>
  <x:pageMargins left="0.7" right="0.7" top="0.75" bottom="0.75" header="0.3" footer="0.3"/>
</x:worksheet>
</file>
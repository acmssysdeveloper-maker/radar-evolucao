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58c9d5af8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3333edac0ab4def"/>
    <x:sheet xmlns:r="http://schemas.openxmlformats.org/officeDocument/2006/relationships" name="Leads" sheetId="2" r:id="R00bdbffbeab6427b"/>
    <x:sheet xmlns:r="http://schemas.openxmlformats.org/officeDocument/2006/relationships" name="Diagnosticos" sheetId="3" r:id="R381a3148f8714f09"/>
    <x:sheet xmlns:r="http://schemas.openxmlformats.org/officeDocument/2006/relationships" name="Respostas" sheetId="4" r:id="Rf88b0817c14f4603"/>
    <x:sheet xmlns:r="http://schemas.openxmlformats.org/officeDocument/2006/relationships" name="Interacoes" sheetId="5" r:id="Reef05d80a96d4340"/>
    <x:sheet xmlns:r="http://schemas.openxmlformats.org/officeDocument/2006/relationships" name="Configuracoes" sheetId="6" r:id="Rb15e135255d745b0"/>
    <x:sheet xmlns:r="http://schemas.openxmlformats.org/officeDocument/2006/relationships" name="Indicadores" sheetId="7" r:id="R9dd649ea30074af3"/>
    <x:sheet xmlns:r="http://schemas.openxmlformats.org/officeDocument/2006/relationships" name="Evolucao" sheetId="8" r:id="R92a618173aea49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dd/mm/yyyy hh:mm"/>
    <x:numFmt numFmtId="202" formatCode="dd/mm/yyyy hh:mm:ss"/>
  </x:numFmts>
  <x:fonts count="6">
    <x:font>
      <x:sz val="11"/>
      <x:name val="Carlito"/>
    </x:font>
    <x:font>
      <x:b/>
      <x:sz val="16"/>
      <x:color rgb="FFF1DB7B"/>
      <x:name val="Carlito"/>
    </x:font>
    <x:font>
      <x:b/>
      <x:sz val="11"/>
      <x:color rgb="FF11111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8A6D0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D6B43D"/>
      </x:patternFill>
    </x:fill>
    <x:fill>
      <x:patternFill patternType="solid">
        <x:fgColor rgb="FFF7F1D8"/>
      </x:patternFill>
    </x:fill>
    <x:fill>
      <x:patternFill patternType="solid">
        <x:fgColor rgb="FF111111"/>
      </x:patternFill>
    </x:fill>
    <x:fill>
      <x:patternFill patternType="solid">
        <x:fgColor rgb="FFF8F5E9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wrapText="1"/>
    </x:xf>
    <x:xf numFmtId="0" fontId="3" fillId="0" xfId="0" applyNumberFormat="1" applyFont="1" applyFill="1" applyBorder="0" applyAlignment="1">
      <x:alignment wrapText="1"/>
    </x:xf>
    <x:xf numFmtId="0" fontId="5" fillId="0" xfId="0" applyNumberFormat="1" applyFont="1" applyFill="1" applyBorder="0" applyAlignment="1">
      <x:alignment wrapText="1"/>
    </x:xf>
    <x:xf numFmtId="0" fontId="0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xfId="0" applyNumberFormat="1" applyFont="1" applyFill="1" applyBorder="0" applyAlignment="1">
      <x:alignment horizontal="center"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2" fontId="4" fillId="2" borderId="0" xfId="0" applyNumberFormat="1" applyFont="1" applyFill="1" applyBorder="1" applyAlignment="1">
      <x:alignment vertical="center" wrapText="1"/>
    </x:xf>
    <x:xf numFmtId="202" fontId="4" fillId="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8be50203240de" /><Relationship Type="http://schemas.openxmlformats.org/officeDocument/2006/relationships/theme" Target="/xl/theme/theme1.xml" Id="R2884b6799c2b4300" /><Relationship Type="http://schemas.openxmlformats.org/officeDocument/2006/relationships/sharedStrings" Target="/xl/sharedStrings.xml" Id="R3112fa3c71f847ee" /><Relationship Type="http://schemas.openxmlformats.org/officeDocument/2006/relationships/worksheet" Target="/xl/worksheets/sheet1.xml" Id="R83333edac0ab4def" /><Relationship Type="http://schemas.openxmlformats.org/officeDocument/2006/relationships/worksheet" Target="/xl/worksheets/sheet2.xml" Id="R00bdbffbeab6427b" /><Relationship Type="http://schemas.openxmlformats.org/officeDocument/2006/relationships/worksheet" Target="/xl/worksheets/sheet3.xml" Id="R381a3148f8714f09" /><Relationship Type="http://schemas.openxmlformats.org/officeDocument/2006/relationships/worksheet" Target="/xl/worksheets/sheet4.xml" Id="Rf88b0817c14f4603" /><Relationship Type="http://schemas.openxmlformats.org/officeDocument/2006/relationships/worksheet" Target="/xl/worksheets/sheet5.xml" Id="Reef05d80a96d4340" /><Relationship Type="http://schemas.openxmlformats.org/officeDocument/2006/relationships/worksheet" Target="/xl/worksheets/sheet6.xml" Id="Rb15e135255d745b0" /><Relationship Type="http://schemas.openxmlformats.org/officeDocument/2006/relationships/worksheet" Target="/xl/worksheets/sheet7.xml" Id="R9dd649ea30074af3" /><Relationship Type="http://schemas.openxmlformats.org/officeDocument/2006/relationships/worksheet" Target="/xl/worksheets/sheet8.xml" Id="R92a618173aea49d4" /></Relationships>
</file>

<file path=xl/tables/table1.xml><?xml version="1.0" encoding="utf-8"?>
<x:table xmlns:x="http://schemas.openxmlformats.org/spreadsheetml/2006/main" id="1" name="LeadsTable" displayName="LeadsTable" ref="A1:L200" headerRowCount="1" totalsRowCount="0" totalsRowShown="0">
  <x:tableColumns count="12">
    <x:tableColumn id="1" name="Lead_ID"/>
    <x:tableColumn id="2" name="Data_Cadastro"/>
    <x:tableColumn id="3" name="Nome"/>
    <x:tableColumn id="4" name="Empresa"/>
    <x:tableColumn id="5" name="Email"/>
    <x:tableColumn id="6" name="WhatsApp"/>
    <x:tableColumn id="7" name="Cargo"/>
    <x:tableColumn id="8" name="Origem"/>
    <x:tableColumn id="9" name="Consentimento"/>
    <x:tableColumn id="10" name="Ultimo_Contato"/>
    <x:tableColumn id="11" name="Proxima_Acao"/>
    <x:tableColumn id="12" name="Status_Comerci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agnosticosTable" displayName="DiagnosticosTable" ref="A1:R200" headerRowCount="1" totalsRowCount="0" totalsRowShown="0">
  <x:tableColumns count="18">
    <x:tableColumn id="1" name="Diagnostico_ID"/>
    <x:tableColumn id="2" name="Data"/>
    <x:tableColumn id="3" name="Lead_ID"/>
    <x:tableColumn id="4" name="Indice_Geral"/>
    <x:tableColumn id="5" name="Nivel"/>
    <x:tableColumn id="6" name="Pessoas"/>
    <x:tableColumn id="7" name="Pensamento_Critico"/>
    <x:tableColumn id="8" name="Decisao"/>
    <x:tableColumn id="9" name="Processos"/>
    <x:tableColumn id="10" name="Tecnologia_IA"/>
    <x:tableColumn id="11" name="Dados"/>
    <x:tableColumn id="12" name="Aprendizagem"/>
    <x:tableColumn id="13" name="Inovacao"/>
    <x:tableColumn id="14" name="Principal_Forca"/>
    <x:tableColumn id="15" name="Principal_Atencao"/>
    <x:tableColumn id="16" name="PDF_Gerado"/>
    <x:tableColumn id="17" name="PDF_Baixado"/>
    <x:tableColumn id="18" name="WhatsApp_Acion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postasTable" displayName="RespostasTable" ref="A1:F200" headerRowCount="1" totalsRowCount="0" totalsRowShown="0">
  <x:tableColumns count="6">
    <x:tableColumn id="1" name="Diagnostico_ID"/>
    <x:tableColumn id="2" name="Data"/>
    <x:tableColumn id="3" name="Lead_ID"/>
    <x:tableColumn id="4" name="Pergunta"/>
    <x:tableColumn id="5" name="Dimensao"/>
    <x:tableColumn id="6" name="Resposta_0a4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acoesTable" displayName="InteracoesTable" ref="A1:E200" headerRowCount="1" totalsRowCount="0" totalsRowShown="0">
  <x:tableColumns count="5">
    <x:tableColumn id="1" name="Data"/>
    <x:tableColumn id="2" name="Diagnostico_ID"/>
    <x:tableColumn id="3" name="Lead_ID"/>
    <x:tableColumn id="4" name="Evento"/>
    <x:tableColumn id="5" name="Detalh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447fbb483d44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07f20a531c4e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5d67fbe1e041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6ba1193afa42f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RADAR DE EVOLUÇÃO — CRM | PRODUÇÃO</x:v>
      </x:c>
      <x:c r="B1" s="5"/>
      <x:c r="C1" s="5"/>
      <x:c r="D1" s="5"/>
      <x:c r="E1" s="5"/>
      <x:c r="F1" s="5"/>
      <x:c r="G1" s="5"/>
      <x:c r="H1" s="5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4" t="str">
        <x:v>Indicador</x:v>
      </x:c>
      <x:c r="B3" s="34" t="str">
        <x:v>Valor</x:v>
      </x:c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 ht="22" customHeight="1">
      <x:c r="A4" s="35" t="str">
        <x:v>Total de leads</x:v>
      </x:c>
      <x:c r="B4" s="33" t="n">
        <x:f>COUNTA(Leads!A2:A1000)</x:f>
        <x:v>0</x:v>
      </x:c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 ht="22" customHeight="1">
      <x:c r="A5" s="35" t="str">
        <x:v>Diagnósticos realizados</x:v>
      </x:c>
      <x:c r="B5" s="33" t="n">
        <x:f>COUNTA(Diagnosticos!A2:A1000)</x:f>
        <x:v>0</x:v>
      </x:c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 ht="22" customHeight="1">
      <x:c r="A6" s="35" t="str">
        <x:v>Média do índice</x:v>
      </x:c>
      <x:c r="B6" s="36" t="n">
        <x:f>IFERROR(AVERAGE(Diagnosticos!D2:D1000),0)</x:f>
        <x:v>0</x:v>
      </x:c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 ht="22" customHeight="1">
      <x:c r="A7" s="35" t="str">
        <x:v>Último índice</x:v>
      </x:c>
      <x:c r="B7" s="36" t="n">
        <x:f>IFERROR(LOOKUP(2,1/(Diagnosticos!D2:D1000&lt;&gt;""),Diagnosticos!D2:D1000),0)</x:f>
        <x:v>0</x:v>
      </x:c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 ht="22" customHeight="1">
      <x:c r="A8" s="35" t="str">
        <x:v>Diagnósticos com WhatsApp</x:v>
      </x:c>
      <x:c r="B8" s="33" t="n">
        <x:f>COUNTIF(Diagnosticos!R2:R1000,"SIM")</x:f>
        <x:v>0</x:v>
      </x:c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 t="str">
        <x:v>LEITURA OPERACIONAL</x:v>
      </x:c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7" t="str">
        <x:v>Dimensão</x:v>
      </x:c>
      <x:c r="B12" s="37" t="str">
        <x:v>Pontos registrados</x:v>
      </x:c>
      <x:c r="C12" s="37" t="str">
        <x:v>Média</x:v>
      </x:c>
      <x:c r="D12" s="37" t="str">
        <x:v>Meta de referência</x:v>
      </x:c>
      <x:c r="E12" s="37" t="str">
        <x:v>Gap</x:v>
      </x:c>
      <x:c r="F12" s="33" t="str"/>
      <x:c r="G12" s="33" t="str"/>
      <x:c r="H12" s="33" t="str"/>
      <x:c r="I12" s="33" t="str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 t="str">
        <x:v>Pessoas</x:v>
      </x:c>
      <x:c r="B13" s="33" t="n">
        <x:f>COUNT(Diagnosticos!F2:F1000)</x:f>
        <x:v>0</x:v>
      </x:c>
      <x:c r="C13" s="36" t="n">
        <x:f>IFERROR(AVERAGE(Diagnosticos!F2:F1000),0)</x:f>
        <x:v>0</x:v>
      </x:c>
      <x:c r="D13" s="36" t="n">
        <x:v>8</x:v>
      </x:c>
      <x:c r="E13" s="36" t="n">
        <x:f>D13-C13</x:f>
        <x:v>8</x:v>
      </x:c>
      <x:c r="F13" s="33" t="str"/>
      <x:c r="G13" s="33" t="str"/>
      <x:c r="H13" s="33" t="str"/>
      <x:c r="I13" s="33" t="str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 t="str">
        <x:v>Pensamento crítico</x:v>
      </x:c>
      <x:c r="B14" s="33" t="n">
        <x:f>COUNT(Diagnosticos!G2:G1000)</x:f>
        <x:v>0</x:v>
      </x:c>
      <x:c r="C14" s="36" t="n">
        <x:f>IFERROR(AVERAGE(Diagnosticos!G2:G1000),0)</x:f>
        <x:v>0</x:v>
      </x:c>
      <x:c r="D14" s="36" t="n">
        <x:v>8</x:v>
      </x:c>
      <x:c r="E14" s="36" t="n">
        <x:f>D14-C14</x:f>
        <x:v>8</x:v>
      </x:c>
      <x:c r="F14" s="33" t="str"/>
      <x:c r="G14" s="33" t="str"/>
      <x:c r="H14" s="33" t="str"/>
      <x:c r="I14" s="33" t="str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 t="str">
        <x:v>Decisão</x:v>
      </x:c>
      <x:c r="B15" s="33" t="n">
        <x:f>COUNT(Diagnosticos!H2:H1000)</x:f>
        <x:v>0</x:v>
      </x:c>
      <x:c r="C15" s="36" t="n">
        <x:f>IFERROR(AVERAGE(Diagnosticos!H2:H1000),0)</x:f>
        <x:v>0</x:v>
      </x:c>
      <x:c r="D15" s="36" t="n">
        <x:v>8</x:v>
      </x:c>
      <x:c r="E15" s="36" t="n">
        <x:f>D15-C15</x:f>
        <x:v>8</x:v>
      </x:c>
      <x:c r="F15" s="33" t="str"/>
      <x:c r="G15" s="33" t="str"/>
      <x:c r="H15" s="33" t="str"/>
      <x:c r="I15" s="33" t="str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 t="str">
        <x:v>Processos</x:v>
      </x:c>
      <x:c r="B16" s="33" t="n">
        <x:f>COUNT(Diagnosticos!I2:I1000)</x:f>
        <x:v>0</x:v>
      </x:c>
      <x:c r="C16" s="36" t="n">
        <x:f>IFERROR(AVERAGE(Diagnosticos!I2:I1000),0)</x:f>
        <x:v>0</x:v>
      </x:c>
      <x:c r="D16" s="36" t="n">
        <x:v>8</x:v>
      </x:c>
      <x:c r="E16" s="36" t="n">
        <x:f>D16-C16</x:f>
        <x:v>8</x:v>
      </x:c>
      <x:c r="F16" s="33" t="str"/>
      <x:c r="G16" s="33" t="str"/>
      <x:c r="H16" s="33" t="str"/>
      <x:c r="I16" s="33" t="str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 t="str">
        <x:v>Tecnologia/IA</x:v>
      </x:c>
      <x:c r="B17" s="33" t="n">
        <x:f>COUNT(Diagnosticos!J2:J1000)</x:f>
        <x:v>0</x:v>
      </x:c>
      <x:c r="C17" s="36" t="n">
        <x:f>IFERROR(AVERAGE(Diagnosticos!J2:J1000),0)</x:f>
        <x:v>0</x:v>
      </x:c>
      <x:c r="D17" s="36" t="n">
        <x:v>8</x:v>
      </x:c>
      <x:c r="E17" s="36" t="n">
        <x:f>D17-C17</x:f>
        <x:v>8</x:v>
      </x:c>
      <x:c r="F17" s="33" t="str"/>
      <x:c r="G17" s="33" t="str"/>
      <x:c r="H17" s="33" t="str"/>
      <x:c r="I17" s="33" t="str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 t="str">
        <x:v>Dados</x:v>
      </x:c>
      <x:c r="B18" s="33" t="n">
        <x:f>COUNT(Diagnosticos!K2:K1000)</x:f>
        <x:v>0</x:v>
      </x:c>
      <x:c r="C18" s="36" t="n">
        <x:f>IFERROR(AVERAGE(Diagnosticos!K2:K1000),0)</x:f>
        <x:v>0</x:v>
      </x:c>
      <x:c r="D18" s="36" t="n">
        <x:v>8</x:v>
      </x:c>
      <x:c r="E18" s="36" t="n">
        <x:f>D18-C18</x:f>
        <x:v>8</x:v>
      </x:c>
      <x:c r="F18" s="33" t="str"/>
      <x:c r="G18" s="33" t="str"/>
      <x:c r="H18" s="33" t="str"/>
      <x:c r="I18" s="33" t="str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 t="str">
        <x:v>Aprendizagem</x:v>
      </x:c>
      <x:c r="B19" s="33" t="n">
        <x:f>COUNT(Diagnosticos!L2:L1000)</x:f>
        <x:v>0</x:v>
      </x:c>
      <x:c r="C19" s="36" t="n">
        <x:f>IFERROR(AVERAGE(Diagnosticos!L2:L1000),0)</x:f>
        <x:v>0</x:v>
      </x:c>
      <x:c r="D19" s="36" t="n">
        <x:v>8</x:v>
      </x:c>
      <x:c r="E19" s="36" t="n">
        <x:f>D19-C19</x:f>
        <x:v>8</x:v>
      </x:c>
      <x:c r="F19" s="33" t="str"/>
      <x:c r="G19" s="33" t="str"/>
      <x:c r="H19" s="33" t="str"/>
      <x:c r="I19" s="33" t="str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 t="str">
        <x:v>Inovação</x:v>
      </x:c>
      <x:c r="B20" s="33" t="n">
        <x:f>COUNT(Diagnosticos!M2:M1000)</x:f>
        <x:v>0</x:v>
      </x:c>
      <x:c r="C20" s="36" t="n">
        <x:f>IFERROR(AVERAGE(Diagnosticos!M2:M1000),0)</x:f>
        <x:v>0</x:v>
      </x:c>
      <x:c r="D20" s="36" t="n">
        <x:v>8</x:v>
      </x:c>
      <x:c r="E20" s="36" t="n">
        <x:f>D20-C20</x:f>
        <x:v>8</x:v>
      </x:c>
      <x:c r="F20" s="33" t="str"/>
      <x:c r="G20" s="33" t="str"/>
      <x:c r="H20" s="33" t="str"/>
      <x:c r="I20" s="33" t="str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 t="str">
        <x:v>INSTRUÇÃO</x:v>
      </x:c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8" t="str">
        <x:v>PRINCÍPIO</x:v>
      </x:c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 t="str">
        <x:v>O índice é uma linha de base, não um selo de qualidade. Para evolução, mantenha um Lead_ID estável e uma linha por diagnóstico na aba Evolucao.</x:v>
      </x:c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 ht="30" customHeight="1">
      <x:c r="A26" s="62" t="str">
        <x:v>CONTEXTO BRASIL + MUNDO</x:v>
      </x:c>
      <x:c r="B26" s="62" t="str"/>
      <x:c r="C26" s="62" t="str"/>
      <x:c r="D26" s="62" t="str"/>
      <x:c r="E26" s="62" t="str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 ht="30" customHeight="1">
      <x:c r="A27" s="64" t="str">
        <x:v>Os dados publicados no site devem ter fonte, data e contexto. A aba Indicadores funciona como base editorial do painel de cenário.</x:v>
      </x:c>
      <x:c r="B27" s="64" t="str"/>
      <x:c r="C27" s="64" t="str"/>
      <x:c r="D27" s="64" t="str"/>
      <x:c r="E27" s="64" t="str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 ht="30" customHeight="1">
      <x:c r="A28" s="64" t="str">
        <x:v>Regra comercial: dados contextualizam a urgência, mas não substituem o diagnóstico individual nem provam necessidade de contratação.</x:v>
      </x:c>
      <x:c r="B28" s="64" t="str"/>
      <x:c r="C28" s="64" t="str"/>
      <x:c r="D28" s="64" t="str"/>
      <x:c r="E28" s="64" t="str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 ht="30" customHeight="1">
      <x:c r="A29" s="64" t="str">
        <x:v>Fonte de atualização: WEF, CNI e outras fontes oficiais/reconhecidas. Revisar periodicamente antes de publicar novos números.</x:v>
      </x:c>
      <x:c r="B29" s="64" t="str"/>
      <x:c r="C29" s="64" t="str"/>
      <x:c r="D29" s="64" t="str"/>
      <x:c r="E29" s="64" t="str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mergeCells>
    <x:mergeCell ref="A1:H1"/>
    <x:mergeCell ref="A11:I11"/>
    <x:mergeCell ref="A23:H23"/>
    <x:mergeCell ref="A24:H27"/>
    <x:mergeCell ref="A26:E26"/>
    <x:mergeCell ref="A27:E27"/>
    <x:mergeCell ref="A28:E28"/>
    <x:mergeCell ref="A29:E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6" hidden="0" customWidth="1"/>
    <x:col min="4" max="4" width="28" hidden="0" customWidth="1"/>
    <x:col min="5" max="5" width="32" hidden="0" customWidth="1"/>
    <x:col min="6" max="6" width="20" hidden="0" customWidth="1"/>
    <x:col min="7" max="7" width="22" hidden="0" customWidth="1"/>
    <x:col min="8" max="8" width="18" hidden="0" customWidth="1"/>
    <x:col min="9" max="9" width="16" hidden="0" customWidth="1"/>
    <x:col min="10" max="10" width="20" hidden="0" customWidth="1"/>
    <x:col min="11" max="11" width="22" hidden="0" customWidth="1"/>
    <x:col min="12" max="12" width="22" hidden="0" customWidth="1"/>
  </x:cols>
  <x:sheetData>
    <x:row r="1">
      <x:c r="A1" s="45" t="str">
        <x:v>Lead_ID</x:v>
      </x:c>
      <x:c r="B1" s="70" t="str">
        <x:v>Data_Cadastro</x:v>
      </x:c>
      <x:c r="C1" s="45" t="str">
        <x:v>Nome</x:v>
      </x:c>
      <x:c r="D1" s="45" t="str">
        <x:v>Empresa</x:v>
      </x:c>
      <x:c r="E1" s="45" t="str">
        <x:v>Email</x:v>
      </x:c>
      <x:c r="F1" s="45" t="str">
        <x:v>WhatsApp</x:v>
      </x:c>
      <x:c r="G1" s="45" t="str">
        <x:v>Cargo</x:v>
      </x:c>
      <x:c r="H1" s="45" t="str">
        <x:v>Origem</x:v>
      </x:c>
      <x:c r="I1" s="45" t="str">
        <x:v>Consentimento</x:v>
      </x:c>
      <x:c r="J1" s="45" t="str">
        <x:v>Ultimo_Contato</x:v>
      </x:c>
      <x:c r="K1" s="45" t="str">
        <x:v>Proxima_Acao</x:v>
      </x:c>
      <x:c r="L1" s="45" t="str">
        <x:v>Status_Comercial</x:v>
      </x:c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46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46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46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46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46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46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46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46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46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46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46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46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46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46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46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46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46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46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46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46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46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46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46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46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46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46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46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46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46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46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46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46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46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46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46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46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46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46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46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46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46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46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46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46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46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46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46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46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46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46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46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46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46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46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46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46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46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46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46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46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46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46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46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46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46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46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46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46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46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46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46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46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46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46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46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46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46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46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46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46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46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46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46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46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46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46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46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46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46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46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46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46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46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46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46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46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46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46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46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46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46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46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46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46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46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46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46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46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46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46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46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46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46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46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46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46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46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46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46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46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46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46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46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46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46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46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46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46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46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46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46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46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46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46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46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46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46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46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46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46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46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46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46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46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46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46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46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46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46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46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46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46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46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46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46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46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46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46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46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46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46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46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46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46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46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46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46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46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46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46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46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46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46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46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46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46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46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46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46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46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46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46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46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46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46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46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46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46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46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46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46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46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46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46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46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46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46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46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46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dataValidations count="2">
    <x:dataValidation type="list" sqref="I2:L200">
      <x:formula1>"SIM,NÃO"</x:formula1>
    </x:dataValidation>
    <x:dataValidation type="list" sqref="L2:L200">
      <x:formula1>"Novo,Em contato,Diagnóstico discutido,Proposta,Cliente,Sem retorno,Encerrado"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447fbb483d44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4" hidden="0" customWidth="1"/>
    <x:col min="5" max="5" width="16" hidden="0" customWidth="1"/>
    <x:col min="6" max="6" width="12" hidden="0" customWidth="1"/>
    <x:col min="7" max="7" width="19" hidden="0" customWidth="1"/>
    <x:col min="8" max="8" width="12" hidden="0" customWidth="1"/>
    <x:col min="9" max="9" width="12" hidden="0" customWidth="1"/>
    <x:col min="10" max="10" width="16" hidden="0" customWidth="1"/>
    <x:col min="11" max="11" width="12" hidden="0" customWidth="1"/>
    <x:col min="12" max="12" width="16" hidden="0" customWidth="1"/>
    <x:col min="13" max="13" width="12" hidden="0" customWidth="1"/>
    <x:col min="14" max="14" width="22" hidden="0" customWidth="1"/>
    <x:col min="15" max="15" width="22" hidden="0" customWidth="1"/>
    <x:col min="16" max="16" width="14" hidden="0" customWidth="1"/>
    <x:col min="17" max="17" width="14" hidden="0" customWidth="1"/>
    <x:col min="18" max="18" width="18" hidden="0" customWidth="1"/>
  </x:cols>
  <x:sheetData>
    <x:row r="1">
      <x:c r="A1" s="45" t="str">
        <x:v>Diagnostico_ID</x:v>
      </x:c>
      <x:c r="B1" s="70" t="str">
        <x:v>Data</x:v>
      </x:c>
      <x:c r="C1" s="45" t="str">
        <x:v>Lead_ID</x:v>
      </x:c>
      <x:c r="D1" s="45" t="str">
        <x:v>Indice_Geral</x:v>
      </x:c>
      <x:c r="E1" s="45" t="str">
        <x:v>Nivel</x:v>
      </x:c>
      <x:c r="F1" s="45" t="str">
        <x:v>Pessoas</x:v>
      </x:c>
      <x:c r="G1" s="45" t="str">
        <x:v>Pensamento_Critico</x:v>
      </x:c>
      <x:c r="H1" s="45" t="str">
        <x:v>Decisao</x:v>
      </x:c>
      <x:c r="I1" s="45" t="str">
        <x:v>Processos</x:v>
      </x:c>
      <x:c r="J1" s="45" t="str">
        <x:v>Tecnologia_IA</x:v>
      </x:c>
      <x:c r="K1" s="45" t="str">
        <x:v>Dados</x:v>
      </x:c>
      <x:c r="L1" s="45" t="str">
        <x:v>Aprendizagem</x:v>
      </x:c>
      <x:c r="M1" s="45" t="str">
        <x:v>Inovacao</x:v>
      </x:c>
      <x:c r="N1" s="45" t="str">
        <x:v>Principal_Forca</x:v>
      </x:c>
      <x:c r="O1" s="45" t="str">
        <x:v>Principal_Atencao</x:v>
      </x:c>
      <x:c r="P1" s="45" t="str">
        <x:v>PDF_Gerado</x:v>
      </x:c>
      <x:c r="Q1" s="45" t="str">
        <x:v>PDF_Baixado</x:v>
      </x:c>
      <x:c r="R1" s="45" t="str">
        <x:v>WhatsApp_Acionado</x:v>
      </x:c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46"/>
      <x:c r="C2" s="33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46"/>
      <x:c r="C3" s="33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46"/>
      <x:c r="C4" s="33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46"/>
      <x:c r="C5" s="33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46"/>
      <x:c r="C6" s="33"/>
      <x:c r="D6" s="36"/>
      <x:c r="E6" s="36"/>
      <x:c r="F6" s="36"/>
      <x:c r="G6" s="36"/>
      <x:c r="H6" s="36"/>
      <x:c r="I6" s="36"/>
      <x:c r="J6" s="36"/>
      <x:c r="K6" s="36"/>
      <x:c r="L6" s="36"/>
      <x:c r="M6" s="36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46"/>
      <x:c r="C7" s="33"/>
      <x:c r="D7" s="36"/>
      <x:c r="E7" s="36"/>
      <x:c r="F7" s="36"/>
      <x:c r="G7" s="36"/>
      <x:c r="H7" s="36"/>
      <x:c r="I7" s="36"/>
      <x:c r="J7" s="36"/>
      <x:c r="K7" s="36"/>
      <x:c r="L7" s="36"/>
      <x:c r="M7" s="36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46"/>
      <x:c r="C8" s="33"/>
      <x:c r="D8" s="36"/>
      <x:c r="E8" s="36"/>
      <x:c r="F8" s="36"/>
      <x:c r="G8" s="36"/>
      <x:c r="H8" s="36"/>
      <x:c r="I8" s="36"/>
      <x:c r="J8" s="36"/>
      <x:c r="K8" s="36"/>
      <x:c r="L8" s="36"/>
      <x:c r="M8" s="36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46"/>
      <x:c r="C9" s="33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46"/>
      <x:c r="C10" s="33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46"/>
      <x:c r="C11" s="33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46"/>
      <x:c r="C12" s="33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46"/>
      <x:c r="C13" s="33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46"/>
      <x:c r="C14" s="33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46"/>
      <x:c r="C15" s="33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46"/>
      <x:c r="C16" s="33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46"/>
      <x:c r="C17" s="33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46"/>
      <x:c r="C18" s="33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46"/>
      <x:c r="C19" s="33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46"/>
      <x:c r="C20" s="33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46"/>
      <x:c r="C21" s="33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46"/>
      <x:c r="C22" s="33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46"/>
      <x:c r="C23" s="33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46"/>
      <x:c r="C24" s="33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46"/>
      <x:c r="C25" s="33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46"/>
      <x:c r="C26" s="33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46"/>
      <x:c r="C27" s="33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46"/>
      <x:c r="C28" s="33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46"/>
      <x:c r="C29" s="33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46"/>
      <x:c r="C30" s="33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46"/>
      <x:c r="C31" s="33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46"/>
      <x:c r="C32" s="33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46"/>
      <x:c r="C33" s="33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46"/>
      <x:c r="C34" s="33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46"/>
      <x:c r="C35" s="33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46"/>
      <x:c r="C36" s="33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46"/>
      <x:c r="C37" s="33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46"/>
      <x:c r="C38" s="33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46"/>
      <x:c r="C39" s="33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46"/>
      <x:c r="C40" s="33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46"/>
      <x:c r="C41" s="33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46"/>
      <x:c r="C42" s="33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46"/>
      <x:c r="C43" s="33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46"/>
      <x:c r="C44" s="33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46"/>
      <x:c r="C45" s="33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46"/>
      <x:c r="C46" s="33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46"/>
      <x:c r="C47" s="33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46"/>
      <x:c r="C48" s="33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46"/>
      <x:c r="C49" s="33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46"/>
      <x:c r="C50" s="33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46"/>
      <x:c r="C51" s="33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46"/>
      <x:c r="C52" s="33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46"/>
      <x:c r="C53" s="33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46"/>
      <x:c r="C54" s="33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46"/>
      <x:c r="C55" s="33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46"/>
      <x:c r="C56" s="33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46"/>
      <x:c r="C57" s="33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46"/>
      <x:c r="C58" s="33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46"/>
      <x:c r="C59" s="33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46"/>
      <x:c r="C60" s="33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46"/>
      <x:c r="C61" s="33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46"/>
      <x:c r="C62" s="33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46"/>
      <x:c r="C63" s="33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46"/>
      <x:c r="C64" s="33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46"/>
      <x:c r="C65" s="33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46"/>
      <x:c r="C66" s="33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46"/>
      <x:c r="C67" s="33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46"/>
      <x:c r="C68" s="33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46"/>
      <x:c r="C69" s="33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46"/>
      <x:c r="C70" s="33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46"/>
      <x:c r="C71" s="33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46"/>
      <x:c r="C72" s="33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46"/>
      <x:c r="C73" s="33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46"/>
      <x:c r="C74" s="33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46"/>
      <x:c r="C75" s="33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46"/>
      <x:c r="C76" s="33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46"/>
      <x:c r="C77" s="33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46"/>
      <x:c r="C78" s="33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46"/>
      <x:c r="C79" s="33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46"/>
      <x:c r="C80" s="33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46"/>
      <x:c r="C81" s="33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46"/>
      <x:c r="C82" s="33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46"/>
      <x:c r="C83" s="33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46"/>
      <x:c r="C84" s="33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46"/>
      <x:c r="C85" s="33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46"/>
      <x:c r="C86" s="33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46"/>
      <x:c r="C87" s="33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46"/>
      <x:c r="C88" s="33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46"/>
      <x:c r="C89" s="33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46"/>
      <x:c r="C90" s="33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46"/>
      <x:c r="C91" s="33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46"/>
      <x:c r="C92" s="33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46"/>
      <x:c r="C93" s="33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46"/>
      <x:c r="C94" s="33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46"/>
      <x:c r="C95" s="33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46"/>
      <x:c r="C96" s="33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46"/>
      <x:c r="C97" s="33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46"/>
      <x:c r="C98" s="33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46"/>
      <x:c r="C99" s="33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46"/>
      <x:c r="C100" s="33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46"/>
      <x:c r="C101" s="33"/>
      <x:c r="D101" s="36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46"/>
      <x:c r="C102" s="33"/>
      <x:c r="D102" s="36"/>
      <x:c r="E102" s="36"/>
      <x:c r="F102" s="36"/>
      <x:c r="G102" s="36"/>
      <x:c r="H102" s="36"/>
      <x:c r="I102" s="36"/>
      <x:c r="J102" s="36"/>
      <x:c r="K102" s="36"/>
      <x:c r="L102" s="36"/>
      <x:c r="M102" s="36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46"/>
      <x:c r="C103" s="33"/>
      <x:c r="D103" s="36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46"/>
      <x:c r="C104" s="33"/>
      <x:c r="D104" s="36"/>
      <x:c r="E104" s="36"/>
      <x:c r="F104" s="36"/>
      <x:c r="G104" s="36"/>
      <x:c r="H104" s="36"/>
      <x:c r="I104" s="36"/>
      <x:c r="J104" s="36"/>
      <x:c r="K104" s="36"/>
      <x:c r="L104" s="36"/>
      <x:c r="M104" s="36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46"/>
      <x:c r="C105" s="33"/>
      <x:c r="D105" s="36"/>
      <x:c r="E105" s="36"/>
      <x:c r="F105" s="36"/>
      <x:c r="G105" s="36"/>
      <x:c r="H105" s="36"/>
      <x:c r="I105" s="36"/>
      <x:c r="J105" s="36"/>
      <x:c r="K105" s="36"/>
      <x:c r="L105" s="36"/>
      <x:c r="M105" s="36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46"/>
      <x:c r="C106" s="33"/>
      <x:c r="D106" s="36"/>
      <x:c r="E106" s="36"/>
      <x:c r="F106" s="36"/>
      <x:c r="G106" s="36"/>
      <x:c r="H106" s="36"/>
      <x:c r="I106" s="36"/>
      <x:c r="J106" s="36"/>
      <x:c r="K106" s="36"/>
      <x:c r="L106" s="36"/>
      <x:c r="M106" s="36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46"/>
      <x:c r="C107" s="33"/>
      <x:c r="D107" s="36"/>
      <x:c r="E107" s="36"/>
      <x:c r="F107" s="36"/>
      <x:c r="G107" s="36"/>
      <x:c r="H107" s="36"/>
      <x:c r="I107" s="36"/>
      <x:c r="J107" s="36"/>
      <x:c r="K107" s="36"/>
      <x:c r="L107" s="36"/>
      <x:c r="M107" s="36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46"/>
      <x:c r="C108" s="33"/>
      <x:c r="D108" s="36"/>
      <x:c r="E108" s="36"/>
      <x:c r="F108" s="36"/>
      <x:c r="G108" s="36"/>
      <x:c r="H108" s="36"/>
      <x:c r="I108" s="36"/>
      <x:c r="J108" s="36"/>
      <x:c r="K108" s="36"/>
      <x:c r="L108" s="36"/>
      <x:c r="M108" s="36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46"/>
      <x:c r="C109" s="33"/>
      <x:c r="D109" s="36"/>
      <x:c r="E109" s="36"/>
      <x:c r="F109" s="36"/>
      <x:c r="G109" s="36"/>
      <x:c r="H109" s="36"/>
      <x:c r="I109" s="36"/>
      <x:c r="J109" s="36"/>
      <x:c r="K109" s="36"/>
      <x:c r="L109" s="36"/>
      <x:c r="M109" s="36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46"/>
      <x:c r="C110" s="33"/>
      <x:c r="D110" s="36"/>
      <x:c r="E110" s="36"/>
      <x:c r="F110" s="36"/>
      <x:c r="G110" s="36"/>
      <x:c r="H110" s="36"/>
      <x:c r="I110" s="36"/>
      <x:c r="J110" s="36"/>
      <x:c r="K110" s="36"/>
      <x:c r="L110" s="36"/>
      <x:c r="M110" s="36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46"/>
      <x:c r="C111" s="33"/>
      <x:c r="D111" s="36"/>
      <x:c r="E111" s="36"/>
      <x:c r="F111" s="36"/>
      <x:c r="G111" s="36"/>
      <x:c r="H111" s="36"/>
      <x:c r="I111" s="36"/>
      <x:c r="J111" s="36"/>
      <x:c r="K111" s="36"/>
      <x:c r="L111" s="36"/>
      <x:c r="M111" s="36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46"/>
      <x:c r="C112" s="33"/>
      <x:c r="D112" s="36"/>
      <x:c r="E112" s="36"/>
      <x:c r="F112" s="36"/>
      <x:c r="G112" s="36"/>
      <x:c r="H112" s="36"/>
      <x:c r="I112" s="36"/>
      <x:c r="J112" s="36"/>
      <x:c r="K112" s="36"/>
      <x:c r="L112" s="36"/>
      <x:c r="M112" s="36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46"/>
      <x:c r="C113" s="33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46"/>
      <x:c r="C114" s="33"/>
      <x:c r="D114" s="36"/>
      <x:c r="E114" s="36"/>
      <x:c r="F114" s="36"/>
      <x:c r="G114" s="36"/>
      <x:c r="H114" s="36"/>
      <x:c r="I114" s="36"/>
      <x:c r="J114" s="36"/>
      <x:c r="K114" s="36"/>
      <x:c r="L114" s="36"/>
      <x:c r="M114" s="36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46"/>
      <x:c r="C115" s="33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46"/>
      <x:c r="C116" s="33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46"/>
      <x:c r="C117" s="33"/>
      <x:c r="D117" s="36"/>
      <x:c r="E117" s="36"/>
      <x:c r="F117" s="36"/>
      <x:c r="G117" s="36"/>
      <x:c r="H117" s="36"/>
      <x:c r="I117" s="36"/>
      <x:c r="J117" s="36"/>
      <x:c r="K117" s="36"/>
      <x:c r="L117" s="36"/>
      <x:c r="M117" s="36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46"/>
      <x:c r="C118" s="33"/>
      <x:c r="D118" s="36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46"/>
      <x:c r="C119" s="33"/>
      <x:c r="D119" s="36"/>
      <x:c r="E119" s="36"/>
      <x:c r="F119" s="36"/>
      <x:c r="G119" s="36"/>
      <x:c r="H119" s="36"/>
      <x:c r="I119" s="36"/>
      <x:c r="J119" s="36"/>
      <x:c r="K119" s="36"/>
      <x:c r="L119" s="36"/>
      <x:c r="M119" s="36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46"/>
      <x:c r="C120" s="33"/>
      <x:c r="D120" s="36"/>
      <x:c r="E120" s="36"/>
      <x:c r="F120" s="36"/>
      <x:c r="G120" s="36"/>
      <x:c r="H120" s="36"/>
      <x:c r="I120" s="36"/>
      <x:c r="J120" s="36"/>
      <x:c r="K120" s="36"/>
      <x:c r="L120" s="36"/>
      <x:c r="M120" s="36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46"/>
      <x:c r="C121" s="33"/>
      <x:c r="D121" s="36"/>
      <x:c r="E121" s="36"/>
      <x:c r="F121" s="36"/>
      <x:c r="G121" s="36"/>
      <x:c r="H121" s="36"/>
      <x:c r="I121" s="36"/>
      <x:c r="J121" s="36"/>
      <x:c r="K121" s="36"/>
      <x:c r="L121" s="36"/>
      <x:c r="M121" s="36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46"/>
      <x:c r="C122" s="33"/>
      <x:c r="D122" s="36"/>
      <x:c r="E122" s="36"/>
      <x:c r="F122" s="36"/>
      <x:c r="G122" s="36"/>
      <x:c r="H122" s="36"/>
      <x:c r="I122" s="36"/>
      <x:c r="J122" s="36"/>
      <x:c r="K122" s="36"/>
      <x:c r="L122" s="36"/>
      <x:c r="M122" s="36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46"/>
      <x:c r="C123" s="33"/>
      <x:c r="D123" s="36"/>
      <x:c r="E123" s="36"/>
      <x:c r="F123" s="36"/>
      <x:c r="G123" s="36"/>
      <x:c r="H123" s="36"/>
      <x:c r="I123" s="36"/>
      <x:c r="J123" s="36"/>
      <x:c r="K123" s="36"/>
      <x:c r="L123" s="36"/>
      <x:c r="M123" s="36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46"/>
      <x:c r="C124" s="33"/>
      <x:c r="D124" s="36"/>
      <x:c r="E124" s="36"/>
      <x:c r="F124" s="36"/>
      <x:c r="G124" s="36"/>
      <x:c r="H124" s="36"/>
      <x:c r="I124" s="36"/>
      <x:c r="J124" s="36"/>
      <x:c r="K124" s="36"/>
      <x:c r="L124" s="36"/>
      <x:c r="M124" s="36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46"/>
      <x:c r="C125" s="33"/>
      <x:c r="D125" s="36"/>
      <x:c r="E125" s="36"/>
      <x:c r="F125" s="36"/>
      <x:c r="G125" s="36"/>
      <x:c r="H125" s="36"/>
      <x:c r="I125" s="36"/>
      <x:c r="J125" s="36"/>
      <x:c r="K125" s="36"/>
      <x:c r="L125" s="36"/>
      <x:c r="M125" s="36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46"/>
      <x:c r="C126" s="33"/>
      <x:c r="D126" s="36"/>
      <x:c r="E126" s="36"/>
      <x:c r="F126" s="36"/>
      <x:c r="G126" s="36"/>
      <x:c r="H126" s="36"/>
      <x:c r="I126" s="36"/>
      <x:c r="J126" s="36"/>
      <x:c r="K126" s="36"/>
      <x:c r="L126" s="36"/>
      <x:c r="M126" s="36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46"/>
      <x:c r="C127" s="33"/>
      <x:c r="D127" s="36"/>
      <x:c r="E127" s="36"/>
      <x:c r="F127" s="36"/>
      <x:c r="G127" s="36"/>
      <x:c r="H127" s="36"/>
      <x:c r="I127" s="36"/>
      <x:c r="J127" s="36"/>
      <x:c r="K127" s="36"/>
      <x:c r="L127" s="36"/>
      <x:c r="M127" s="36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46"/>
      <x:c r="C128" s="33"/>
      <x:c r="D128" s="36"/>
      <x:c r="E128" s="36"/>
      <x:c r="F128" s="36"/>
      <x:c r="G128" s="36"/>
      <x:c r="H128" s="36"/>
      <x:c r="I128" s="36"/>
      <x:c r="J128" s="36"/>
      <x:c r="K128" s="36"/>
      <x:c r="L128" s="36"/>
      <x:c r="M128" s="36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46"/>
      <x:c r="C129" s="33"/>
      <x:c r="D129" s="36"/>
      <x:c r="E129" s="36"/>
      <x:c r="F129" s="36"/>
      <x:c r="G129" s="36"/>
      <x:c r="H129" s="36"/>
      <x:c r="I129" s="36"/>
      <x:c r="J129" s="36"/>
      <x:c r="K129" s="36"/>
      <x:c r="L129" s="36"/>
      <x:c r="M129" s="36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46"/>
      <x:c r="C130" s="33"/>
      <x:c r="D130" s="36"/>
      <x:c r="E130" s="36"/>
      <x:c r="F130" s="36"/>
      <x:c r="G130" s="36"/>
      <x:c r="H130" s="36"/>
      <x:c r="I130" s="36"/>
      <x:c r="J130" s="36"/>
      <x:c r="K130" s="36"/>
      <x:c r="L130" s="36"/>
      <x:c r="M130" s="36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46"/>
      <x:c r="C131" s="33"/>
      <x:c r="D131" s="36"/>
      <x:c r="E131" s="36"/>
      <x:c r="F131" s="36"/>
      <x:c r="G131" s="36"/>
      <x:c r="H131" s="36"/>
      <x:c r="I131" s="36"/>
      <x:c r="J131" s="36"/>
      <x:c r="K131" s="36"/>
      <x:c r="L131" s="36"/>
      <x:c r="M131" s="36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46"/>
      <x:c r="C132" s="33"/>
      <x:c r="D132" s="36"/>
      <x:c r="E132" s="36"/>
      <x:c r="F132" s="36"/>
      <x:c r="G132" s="36"/>
      <x:c r="H132" s="36"/>
      <x:c r="I132" s="36"/>
      <x:c r="J132" s="36"/>
      <x:c r="K132" s="36"/>
      <x:c r="L132" s="36"/>
      <x:c r="M132" s="36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46"/>
      <x:c r="C133" s="33"/>
      <x:c r="D133" s="36"/>
      <x:c r="E133" s="36"/>
      <x:c r="F133" s="36"/>
      <x:c r="G133" s="36"/>
      <x:c r="H133" s="36"/>
      <x:c r="I133" s="36"/>
      <x:c r="J133" s="36"/>
      <x:c r="K133" s="36"/>
      <x:c r="L133" s="36"/>
      <x:c r="M133" s="36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46"/>
      <x:c r="C134" s="33"/>
      <x:c r="D134" s="36"/>
      <x:c r="E134" s="36"/>
      <x:c r="F134" s="36"/>
      <x:c r="G134" s="36"/>
      <x:c r="H134" s="36"/>
      <x:c r="I134" s="36"/>
      <x:c r="J134" s="36"/>
      <x:c r="K134" s="36"/>
      <x:c r="L134" s="36"/>
      <x:c r="M134" s="36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46"/>
      <x:c r="C135" s="33"/>
      <x:c r="D135" s="36"/>
      <x:c r="E135" s="36"/>
      <x:c r="F135" s="36"/>
      <x:c r="G135" s="36"/>
      <x:c r="H135" s="36"/>
      <x:c r="I135" s="36"/>
      <x:c r="J135" s="36"/>
      <x:c r="K135" s="36"/>
      <x:c r="L135" s="36"/>
      <x:c r="M135" s="36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46"/>
      <x:c r="C136" s="33"/>
      <x:c r="D136" s="36"/>
      <x:c r="E136" s="36"/>
      <x:c r="F136" s="36"/>
      <x:c r="G136" s="36"/>
      <x:c r="H136" s="36"/>
      <x:c r="I136" s="36"/>
      <x:c r="J136" s="36"/>
      <x:c r="K136" s="36"/>
      <x:c r="L136" s="36"/>
      <x:c r="M136" s="36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46"/>
      <x:c r="C137" s="33"/>
      <x:c r="D137" s="36"/>
      <x:c r="E137" s="36"/>
      <x:c r="F137" s="36"/>
      <x:c r="G137" s="36"/>
      <x:c r="H137" s="36"/>
      <x:c r="I137" s="36"/>
      <x:c r="J137" s="36"/>
      <x:c r="K137" s="36"/>
      <x:c r="L137" s="36"/>
      <x:c r="M137" s="36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46"/>
      <x:c r="C138" s="33"/>
      <x:c r="D138" s="36"/>
      <x:c r="E138" s="36"/>
      <x:c r="F138" s="36"/>
      <x:c r="G138" s="36"/>
      <x:c r="H138" s="36"/>
      <x:c r="I138" s="36"/>
      <x:c r="J138" s="36"/>
      <x:c r="K138" s="36"/>
      <x:c r="L138" s="36"/>
      <x:c r="M138" s="36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46"/>
      <x:c r="C139" s="33"/>
      <x:c r="D139" s="36"/>
      <x:c r="E139" s="36"/>
      <x:c r="F139" s="36"/>
      <x:c r="G139" s="36"/>
      <x:c r="H139" s="36"/>
      <x:c r="I139" s="36"/>
      <x:c r="J139" s="36"/>
      <x:c r="K139" s="36"/>
      <x:c r="L139" s="36"/>
      <x:c r="M139" s="36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46"/>
      <x:c r="C140" s="33"/>
      <x:c r="D140" s="36"/>
      <x:c r="E140" s="36"/>
      <x:c r="F140" s="36"/>
      <x:c r="G140" s="36"/>
      <x:c r="H140" s="36"/>
      <x:c r="I140" s="36"/>
      <x:c r="J140" s="36"/>
      <x:c r="K140" s="36"/>
      <x:c r="L140" s="36"/>
      <x:c r="M140" s="36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46"/>
      <x:c r="C141" s="33"/>
      <x:c r="D141" s="36"/>
      <x:c r="E141" s="36"/>
      <x:c r="F141" s="36"/>
      <x:c r="G141" s="36"/>
      <x:c r="H141" s="36"/>
      <x:c r="I141" s="36"/>
      <x:c r="J141" s="36"/>
      <x:c r="K141" s="36"/>
      <x:c r="L141" s="36"/>
      <x:c r="M141" s="36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46"/>
      <x:c r="C142" s="33"/>
      <x:c r="D142" s="36"/>
      <x:c r="E142" s="36"/>
      <x:c r="F142" s="36"/>
      <x:c r="G142" s="36"/>
      <x:c r="H142" s="36"/>
      <x:c r="I142" s="36"/>
      <x:c r="J142" s="36"/>
      <x:c r="K142" s="36"/>
      <x:c r="L142" s="36"/>
      <x:c r="M142" s="36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46"/>
      <x:c r="C143" s="33"/>
      <x:c r="D143" s="36"/>
      <x:c r="E143" s="36"/>
      <x:c r="F143" s="36"/>
      <x:c r="G143" s="36"/>
      <x:c r="H143" s="36"/>
      <x:c r="I143" s="36"/>
      <x:c r="J143" s="36"/>
      <x:c r="K143" s="36"/>
      <x:c r="L143" s="36"/>
      <x:c r="M143" s="36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46"/>
      <x:c r="C144" s="33"/>
      <x:c r="D144" s="36"/>
      <x:c r="E144" s="36"/>
      <x:c r="F144" s="36"/>
      <x:c r="G144" s="36"/>
      <x:c r="H144" s="36"/>
      <x:c r="I144" s="36"/>
      <x:c r="J144" s="36"/>
      <x:c r="K144" s="36"/>
      <x:c r="L144" s="36"/>
      <x:c r="M144" s="36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46"/>
      <x:c r="C145" s="33"/>
      <x:c r="D145" s="36"/>
      <x:c r="E145" s="36"/>
      <x:c r="F145" s="36"/>
      <x:c r="G145" s="36"/>
      <x:c r="H145" s="36"/>
      <x:c r="I145" s="36"/>
      <x:c r="J145" s="36"/>
      <x:c r="K145" s="36"/>
      <x:c r="L145" s="36"/>
      <x:c r="M145" s="36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46"/>
      <x:c r="C146" s="33"/>
      <x:c r="D146" s="36"/>
      <x:c r="E146" s="36"/>
      <x:c r="F146" s="36"/>
      <x:c r="G146" s="36"/>
      <x:c r="H146" s="36"/>
      <x:c r="I146" s="36"/>
      <x:c r="J146" s="36"/>
      <x:c r="K146" s="36"/>
      <x:c r="L146" s="36"/>
      <x:c r="M146" s="36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46"/>
      <x:c r="C147" s="33"/>
      <x:c r="D147" s="36"/>
      <x:c r="E147" s="36"/>
      <x:c r="F147" s="36"/>
      <x:c r="G147" s="36"/>
      <x:c r="H147" s="36"/>
      <x:c r="I147" s="36"/>
      <x:c r="J147" s="36"/>
      <x:c r="K147" s="36"/>
      <x:c r="L147" s="36"/>
      <x:c r="M147" s="36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46"/>
      <x:c r="C148" s="33"/>
      <x:c r="D148" s="36"/>
      <x:c r="E148" s="36"/>
      <x:c r="F148" s="36"/>
      <x:c r="G148" s="36"/>
      <x:c r="H148" s="36"/>
      <x:c r="I148" s="36"/>
      <x:c r="J148" s="36"/>
      <x:c r="K148" s="36"/>
      <x:c r="L148" s="36"/>
      <x:c r="M148" s="36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46"/>
      <x:c r="C149" s="33"/>
      <x:c r="D149" s="36"/>
      <x:c r="E149" s="36"/>
      <x:c r="F149" s="36"/>
      <x:c r="G149" s="36"/>
      <x:c r="H149" s="36"/>
      <x:c r="I149" s="36"/>
      <x:c r="J149" s="36"/>
      <x:c r="K149" s="36"/>
      <x:c r="L149" s="36"/>
      <x:c r="M149" s="36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46"/>
      <x:c r="C150" s="33"/>
      <x:c r="D150" s="36"/>
      <x:c r="E150" s="36"/>
      <x:c r="F150" s="36"/>
      <x:c r="G150" s="36"/>
      <x:c r="H150" s="36"/>
      <x:c r="I150" s="36"/>
      <x:c r="J150" s="36"/>
      <x:c r="K150" s="36"/>
      <x:c r="L150" s="36"/>
      <x:c r="M150" s="36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46"/>
      <x:c r="C151" s="33"/>
      <x:c r="D151" s="36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46"/>
      <x:c r="C152" s="33"/>
      <x:c r="D152" s="36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46"/>
      <x:c r="C153" s="33"/>
      <x:c r="D153" s="36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46"/>
      <x:c r="C154" s="33"/>
      <x:c r="D154" s="36"/>
      <x:c r="E154" s="36"/>
      <x:c r="F154" s="36"/>
      <x:c r="G154" s="36"/>
      <x:c r="H154" s="36"/>
      <x:c r="I154" s="36"/>
      <x:c r="J154" s="36"/>
      <x:c r="K154" s="36"/>
      <x:c r="L154" s="36"/>
      <x:c r="M154" s="36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46"/>
      <x:c r="C155" s="33"/>
      <x:c r="D155" s="36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46"/>
      <x:c r="C156" s="33"/>
      <x:c r="D156" s="36"/>
      <x:c r="E156" s="36"/>
      <x:c r="F156" s="36"/>
      <x:c r="G156" s="36"/>
      <x:c r="H156" s="36"/>
      <x:c r="I156" s="36"/>
      <x:c r="J156" s="36"/>
      <x:c r="K156" s="36"/>
      <x:c r="L156" s="36"/>
      <x:c r="M156" s="36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46"/>
      <x:c r="C157" s="33"/>
      <x:c r="D157" s="36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46"/>
      <x:c r="C158" s="33"/>
      <x:c r="D158" s="36"/>
      <x:c r="E158" s="36"/>
      <x:c r="F158" s="36"/>
      <x:c r="G158" s="36"/>
      <x:c r="H158" s="36"/>
      <x:c r="I158" s="36"/>
      <x:c r="J158" s="36"/>
      <x:c r="K158" s="36"/>
      <x:c r="L158" s="36"/>
      <x:c r="M158" s="36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46"/>
      <x:c r="C159" s="33"/>
      <x:c r="D159" s="36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46"/>
      <x:c r="C160" s="33"/>
      <x:c r="D160" s="36"/>
      <x:c r="E160" s="36"/>
      <x:c r="F160" s="36"/>
      <x:c r="G160" s="36"/>
      <x:c r="H160" s="36"/>
      <x:c r="I160" s="36"/>
      <x:c r="J160" s="36"/>
      <x:c r="K160" s="36"/>
      <x:c r="L160" s="36"/>
      <x:c r="M160" s="36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46"/>
      <x:c r="C161" s="33"/>
      <x:c r="D161" s="36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46"/>
      <x:c r="C162" s="33"/>
      <x:c r="D162" s="36"/>
      <x:c r="E162" s="36"/>
      <x:c r="F162" s="36"/>
      <x:c r="G162" s="36"/>
      <x:c r="H162" s="36"/>
      <x:c r="I162" s="36"/>
      <x:c r="J162" s="36"/>
      <x:c r="K162" s="36"/>
      <x:c r="L162" s="36"/>
      <x:c r="M162" s="36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46"/>
      <x:c r="C163" s="33"/>
      <x:c r="D163" s="36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46"/>
      <x:c r="C164" s="33"/>
      <x:c r="D164" s="36"/>
      <x:c r="E164" s="36"/>
      <x:c r="F164" s="36"/>
      <x:c r="G164" s="36"/>
      <x:c r="H164" s="36"/>
      <x:c r="I164" s="36"/>
      <x:c r="J164" s="36"/>
      <x:c r="K164" s="36"/>
      <x:c r="L164" s="36"/>
      <x:c r="M164" s="36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46"/>
      <x:c r="C165" s="33"/>
      <x:c r="D165" s="36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46"/>
      <x:c r="C166" s="33"/>
      <x:c r="D166" s="36"/>
      <x:c r="E166" s="36"/>
      <x:c r="F166" s="36"/>
      <x:c r="G166" s="36"/>
      <x:c r="H166" s="36"/>
      <x:c r="I166" s="36"/>
      <x:c r="J166" s="36"/>
      <x:c r="K166" s="36"/>
      <x:c r="L166" s="36"/>
      <x:c r="M166" s="36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46"/>
      <x:c r="C167" s="33"/>
      <x:c r="D167" s="36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46"/>
      <x:c r="C168" s="33"/>
      <x:c r="D168" s="36"/>
      <x:c r="E168" s="36"/>
      <x:c r="F168" s="36"/>
      <x:c r="G168" s="36"/>
      <x:c r="H168" s="36"/>
      <x:c r="I168" s="36"/>
      <x:c r="J168" s="36"/>
      <x:c r="K168" s="36"/>
      <x:c r="L168" s="36"/>
      <x:c r="M168" s="36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46"/>
      <x:c r="C169" s="33"/>
      <x:c r="D169" s="36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46"/>
      <x:c r="C170" s="33"/>
      <x:c r="D170" s="36"/>
      <x:c r="E170" s="36"/>
      <x:c r="F170" s="36"/>
      <x:c r="G170" s="36"/>
      <x:c r="H170" s="36"/>
      <x:c r="I170" s="36"/>
      <x:c r="J170" s="36"/>
      <x:c r="K170" s="36"/>
      <x:c r="L170" s="36"/>
      <x:c r="M170" s="36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46"/>
      <x:c r="C171" s="33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46"/>
      <x:c r="C172" s="33"/>
      <x:c r="D172" s="36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46"/>
      <x:c r="C173" s="33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46"/>
      <x:c r="C174" s="33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46"/>
      <x:c r="C175" s="33"/>
      <x:c r="D175" s="36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46"/>
      <x:c r="C176" s="33"/>
      <x:c r="D176" s="36"/>
      <x:c r="E176" s="36"/>
      <x:c r="F176" s="36"/>
      <x:c r="G176" s="36"/>
      <x:c r="H176" s="36"/>
      <x:c r="I176" s="36"/>
      <x:c r="J176" s="36"/>
      <x:c r="K176" s="36"/>
      <x:c r="L176" s="36"/>
      <x:c r="M176" s="36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46"/>
      <x:c r="C177" s="33"/>
      <x:c r="D177" s="36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46"/>
      <x:c r="C178" s="33"/>
      <x:c r="D178" s="36"/>
      <x:c r="E178" s="36"/>
      <x:c r="F178" s="36"/>
      <x:c r="G178" s="36"/>
      <x:c r="H178" s="36"/>
      <x:c r="I178" s="36"/>
      <x:c r="J178" s="36"/>
      <x:c r="K178" s="36"/>
      <x:c r="L178" s="36"/>
      <x:c r="M178" s="36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46"/>
      <x:c r="C179" s="33"/>
      <x:c r="D179" s="36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46"/>
      <x:c r="C180" s="33"/>
      <x:c r="D180" s="36"/>
      <x:c r="E180" s="36"/>
      <x:c r="F180" s="36"/>
      <x:c r="G180" s="36"/>
      <x:c r="H180" s="36"/>
      <x:c r="I180" s="36"/>
      <x:c r="J180" s="36"/>
      <x:c r="K180" s="36"/>
      <x:c r="L180" s="36"/>
      <x:c r="M180" s="36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46"/>
      <x:c r="C181" s="33"/>
      <x:c r="D181" s="36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46"/>
      <x:c r="C182" s="33"/>
      <x:c r="D182" s="36"/>
      <x:c r="E182" s="36"/>
      <x:c r="F182" s="36"/>
      <x:c r="G182" s="36"/>
      <x:c r="H182" s="36"/>
      <x:c r="I182" s="36"/>
      <x:c r="J182" s="36"/>
      <x:c r="K182" s="36"/>
      <x:c r="L182" s="36"/>
      <x:c r="M182" s="36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46"/>
      <x:c r="C183" s="33"/>
      <x:c r="D183" s="36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46"/>
      <x:c r="C184" s="33"/>
      <x:c r="D184" s="36"/>
      <x:c r="E184" s="36"/>
      <x:c r="F184" s="36"/>
      <x:c r="G184" s="36"/>
      <x:c r="H184" s="36"/>
      <x:c r="I184" s="36"/>
      <x:c r="J184" s="36"/>
      <x:c r="K184" s="36"/>
      <x:c r="L184" s="36"/>
      <x:c r="M184" s="36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46"/>
      <x:c r="C185" s="33"/>
      <x:c r="D185" s="36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46"/>
      <x:c r="C186" s="33"/>
      <x:c r="D186" s="36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46"/>
      <x:c r="C187" s="33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46"/>
      <x:c r="C188" s="33"/>
      <x:c r="D188" s="36"/>
      <x:c r="E188" s="36"/>
      <x:c r="F188" s="36"/>
      <x:c r="G188" s="36"/>
      <x:c r="H188" s="36"/>
      <x:c r="I188" s="36"/>
      <x:c r="J188" s="36"/>
      <x:c r="K188" s="36"/>
      <x:c r="L188" s="36"/>
      <x:c r="M188" s="36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46"/>
      <x:c r="C189" s="33"/>
      <x:c r="D189" s="36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46"/>
      <x:c r="C190" s="33"/>
      <x:c r="D190" s="36"/>
      <x:c r="E190" s="36"/>
      <x:c r="F190" s="36"/>
      <x:c r="G190" s="36"/>
      <x:c r="H190" s="36"/>
      <x:c r="I190" s="36"/>
      <x:c r="J190" s="36"/>
      <x:c r="K190" s="36"/>
      <x:c r="L190" s="36"/>
      <x:c r="M190" s="36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46"/>
      <x:c r="C191" s="33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46"/>
      <x:c r="C192" s="33"/>
      <x:c r="D192" s="36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46"/>
      <x:c r="C193" s="33"/>
      <x:c r="D193" s="36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46"/>
      <x:c r="C194" s="33"/>
      <x:c r="D194" s="36"/>
      <x:c r="E194" s="36"/>
      <x:c r="F194" s="36"/>
      <x:c r="G194" s="36"/>
      <x:c r="H194" s="36"/>
      <x:c r="I194" s="36"/>
      <x:c r="J194" s="36"/>
      <x:c r="K194" s="36"/>
      <x:c r="L194" s="36"/>
      <x:c r="M194" s="36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46"/>
      <x:c r="C195" s="33"/>
      <x:c r="D195" s="36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46"/>
      <x:c r="C196" s="33"/>
      <x:c r="D196" s="36"/>
      <x:c r="E196" s="36"/>
      <x:c r="F196" s="36"/>
      <x:c r="G196" s="36"/>
      <x:c r="H196" s="36"/>
      <x:c r="I196" s="36"/>
      <x:c r="J196" s="36"/>
      <x:c r="K196" s="36"/>
      <x:c r="L196" s="36"/>
      <x:c r="M196" s="36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46"/>
      <x:c r="C197" s="33"/>
      <x:c r="D197" s="36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46"/>
      <x:c r="C198" s="33"/>
      <x:c r="D198" s="36"/>
      <x:c r="E198" s="36"/>
      <x:c r="F198" s="36"/>
      <x:c r="G198" s="36"/>
      <x:c r="H198" s="36"/>
      <x:c r="I198" s="36"/>
      <x:c r="J198" s="36"/>
      <x:c r="K198" s="36"/>
      <x:c r="L198" s="36"/>
      <x:c r="M198" s="36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46"/>
      <x:c r="C199" s="33"/>
      <x:c r="D199" s="36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46"/>
      <x:c r="C200" s="33"/>
      <x:c r="D200" s="36"/>
      <x:c r="E200" s="36"/>
      <x:c r="F200" s="36"/>
      <x:c r="G200" s="36"/>
      <x:c r="H200" s="36"/>
      <x:c r="I200" s="36"/>
      <x:c r="J200" s="36"/>
      <x:c r="K200" s="36"/>
      <x:c r="L200" s="36"/>
      <x:c r="M200" s="36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conditionalFormatting sqref="D2:D200">
    <x:cfRule type="colorScale" priority="1">
      <x:colorScale>
        <x:cfvo type="min"/>
        <x:cfvo type="percentile" val="50"/>
        <x:cfvo type="max"/>
        <x:color rgb="FFF6D9D9"/>
        <x:color rgb="FFF7F1D8"/>
        <x:color rgb="FFDDEEDC"/>
      </x:colorScale>
    </x:cfRule>
  </x:conditionalFormatting>
  <x:dataValidations count="3">
    <x:dataValidation type="list" sqref="P2:P200">
      <x:formula1>"SIM,NÃO"</x:formula1>
    </x:dataValidation>
    <x:dataValidation type="list" sqref="Q2:Q200">
      <x:formula1>"SIM,NÃO"</x:formula1>
    </x:dataValidation>
    <x:dataValidation type="list" sqref="R2:R20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07f20a531c4ed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56" hidden="0" customWidth="1"/>
    <x:col min="5" max="5" width="22" hidden="0" customWidth="1"/>
    <x:col min="6" max="6" width="16" hidden="0" customWidth="1"/>
  </x:cols>
  <x:sheetData>
    <x:row r="1">
      <x:c r="A1" s="49" t="str">
        <x:v>Diagnostico_ID</x:v>
      </x:c>
      <x:c r="B1" s="71" t="str">
        <x:v>Data</x:v>
      </x:c>
      <x:c r="C1" s="49" t="str">
        <x:v>Lead_ID</x:v>
      </x:c>
      <x:c r="D1" s="49" t="str">
        <x:v>Pergunta</x:v>
      </x:c>
      <x:c r="E1" s="49" t="str">
        <x:v>Dimensao</x:v>
      </x:c>
      <x:c r="F1" s="49" t="str">
        <x:v>Resposta_0a4</x:v>
      </x:c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46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46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46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46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46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46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46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46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46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46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46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46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46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46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46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46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46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46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46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46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46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46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46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46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46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46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46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46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46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46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46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46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46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46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46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46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46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46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46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46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46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46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46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46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46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46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46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46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46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46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46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46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46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46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46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46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46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46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46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46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46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46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46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46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46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46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46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46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46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46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46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46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46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46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46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46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46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46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46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46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46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46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46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46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46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46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46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46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46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46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46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46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46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46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46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46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46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46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46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46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46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46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46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46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46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46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46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46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46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46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46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46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46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46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46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46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46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46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46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46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46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46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46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46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46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46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46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46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46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46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46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46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46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46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46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46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46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46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46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46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46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46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46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46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46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46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46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46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46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46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46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46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46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46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46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46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46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46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46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46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46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46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46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46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46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46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46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46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46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46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46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46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46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46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46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46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46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46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46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46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46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46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46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46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46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46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46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46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46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46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46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46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46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46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46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46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46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46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46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dataValidations count="1">
    <x:dataValidation type="list" sqref="F2:F200">
      <x:formula1>"0,1,2,3,4"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5d67fbe1e041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26" hidden="0" customWidth="1"/>
    <x:col min="5" max="5" width="50" hidden="0" customWidth="1"/>
    <x:col min="6" max="6" width="28" hidden="0" customWidth="1"/>
  </x:cols>
  <x:sheetData>
    <x:row r="1">
      <x:c r="A1" s="71" t="str">
        <x:v>Data</x:v>
      </x:c>
      <x:c r="B1" s="49" t="str">
        <x:v>Diagnostico_ID</x:v>
      </x:c>
      <x:c r="C1" s="49" t="str">
        <x:v>Lead_ID</x:v>
      </x:c>
      <x:c r="D1" s="49" t="str">
        <x:v>Evento</x:v>
      </x:c>
      <x:c r="E1" s="49" t="str">
        <x:v>Detalhe</x:v>
      </x:c>
      <x:c r="F1" s="35" t="str">
        <x:v>Evento_ID</x:v>
      </x:c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46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46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46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46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46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46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46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46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46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46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46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46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46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46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46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46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46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46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46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46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46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46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46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46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46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46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46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46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46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46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46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46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46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46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46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46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46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46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46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46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46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46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46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46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46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46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46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46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46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46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46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46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46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46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46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46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46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46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46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46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46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46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46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46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46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46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46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46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46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46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46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46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46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46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46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46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46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46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46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46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46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46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46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46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46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46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46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46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46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46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46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46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46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46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46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46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46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46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46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46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46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46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46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46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46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46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46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46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46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46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46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46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46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46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46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46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46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46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46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46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46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46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46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46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46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46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46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46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46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46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46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46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46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46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46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46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46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46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46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46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46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46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46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46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46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46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46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46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46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46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46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46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46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46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46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46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46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46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46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46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46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46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46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46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46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46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46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46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46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46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46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46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46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46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46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46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46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46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46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46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46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46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46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46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46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46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46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46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46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46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46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46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46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46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46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46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46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46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46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pageMargins left="0.7" right="0.7" top="0.75" bottom="0.75" header="0.3" footer="0.3"/>
  <x:tableParts count="1">
    <x:tablePart xmlns:r="http://schemas.openxmlformats.org/officeDocument/2006/relationships" r:id="R3c6ba1193afa42f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70" hidden="0" customWidth="1"/>
  </x:cols>
  <x:sheetData>
    <x:row r="1">
      <x:c r="A1" s="51" t="str">
        <x:v>Parâmetro</x:v>
      </x:c>
      <x:c r="B1" s="51" t="str">
        <x:v>Valor</x:v>
      </x:c>
      <x:c r="C1" s="51" t="str">
        <x:v>Observação</x:v>
      </x:c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 t="str">
        <x:v>WhatsApp</x:v>
      </x:c>
      <x:c r="B2" s="33" t="str">
        <x:v>5522999680509</x:v>
      </x:c>
      <x:c r="C2" s="33" t="str">
        <x:v>Número internacional, sem + ou espaços</x:v>
      </x:c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 t="str">
        <x:v>Nível 1</x:v>
      </x:c>
      <x:c r="B3" s="33" t="str">
        <x:v>0 a 2,4</x:v>
      </x:c>
      <x:c r="C3" s="33" t="str">
        <x:v>Reativo</x:v>
      </x:c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 t="str">
        <x:v>Nível 2</x:v>
      </x:c>
      <x:c r="B4" s="33" t="str">
        <x:v>2,5 a 4,4</x:v>
      </x:c>
      <x:c r="C4" s="33" t="str">
        <x:v>Organizado</x:v>
      </x:c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 t="str">
        <x:v>Nível 3</x:v>
      </x:c>
      <x:c r="B5" s="33" t="str">
        <x:v>4,5 a 6,4</x:v>
      </x:c>
      <x:c r="C5" s="33" t="str">
        <x:v>Estruturado</x:v>
      </x:c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 t="str">
        <x:v>Nível 4</x:v>
      </x:c>
      <x:c r="B6" s="33" t="str">
        <x:v>6,5 a 8,2</x:v>
      </x:c>
      <x:c r="C6" s="33" t="str">
        <x:v>Adaptativo</x:v>
      </x:c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 t="str">
        <x:v>Nível 5</x:v>
      </x:c>
      <x:c r="B7" s="33" t="str">
        <x:v>8,3 a 10</x:v>
      </x:c>
      <x:c r="C7" s="33" t="str">
        <x:v>Evolutivo</x:v>
      </x:c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 t="str">
        <x:v>Dimensões</x:v>
      </x:c>
      <x:c r="B8" s="33" t="str">
        <x:v>8</x:v>
      </x:c>
      <x:c r="C8" s="33" t="str">
        <x:v>Pessoas, pensamento, decisão, processos, tecnologia, dados, aprendizagem, inovação</x:v>
      </x:c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 t="str">
        <x:v>Perguntas</x:v>
      </x:c>
      <x:c r="B9" s="33" t="str">
        <x:v>24</x:v>
      </x:c>
      <x:c r="C9" s="33" t="str">
        <x:v>3 por dimensão</x:v>
      </x:c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8" t="str">
        <x:v>Observação: revise os textos e critérios antes de publicar a versão definitiva.</x:v>
      </x:c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69" t="str">
        <x:v>Versão do CRM</x:v>
      </x:c>
      <x:c r="B11" s="69" t="str">
        <x:v>2.4.2</x:v>
      </x:c>
      <x:c r="C11" s="69" t="str">
        <x:v>Compatível com o projeto Radar de Evolução 2.4.2</x:v>
      </x:c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8" t="str">
        <x:v>Fuso horário</x:v>
      </x:c>
      <x:c r="B12" s="38" t="str">
        <x:v>America/Sao_Paulo</x:v>
      </x:c>
      <x:c r="C12" s="38" t="str">
        <x:v>Definido automaticamente por setup() no Apps Script</x:v>
      </x:c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8" t="str">
        <x:v>Evento_ID</x:v>
      </x:c>
      <x:c r="B13" s="38" t="str">
        <x:v>Obrigatório</x:v>
      </x:c>
      <x:c r="C13" s="38" t="str">
        <x:v>Identificador idempotente para impedir duplicação de eventos</x:v>
      </x:c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mergeCells>
    <x:mergeCell ref="A10:C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56" hidden="0" customWidth="1"/>
    <x:col min="5" max="5" width="40" hidden="0" customWidth="1"/>
    <x:col min="6" max="6" width="58" hidden="0" customWidth="1"/>
    <x:col min="7" max="7" width="16" hidden="0" customWidth="1"/>
    <x:col min="8" max="8" width="12" hidden="0" customWidth="1"/>
  </x:cols>
  <x:sheetData>
    <x:row r="1" ht="42" customHeight="1">
      <x:c r="A1" s="57" t="str">
        <x:v>Scope</x:v>
      </x:c>
      <x:c r="B1" s="57" t="str">
        <x:v>Value</x:v>
      </x:c>
      <x:c r="C1" s="57" t="str">
        <x:v>Title</x:v>
      </x:c>
      <x:c r="D1" s="57" t="str">
        <x:v>Detail</x:v>
      </x:c>
      <x:c r="E1" s="57" t="str">
        <x:v>Source</x:v>
      </x:c>
      <x:c r="F1" s="57" t="str">
        <x:v>URL</x:v>
      </x:c>
      <x:c r="G1" s="57" t="str">
        <x:v>Updated_At</x:v>
      </x:c>
      <x:c r="H1" s="57" t="str">
        <x:v>Active</x:v>
      </x:c>
    </x:row>
    <x:row r="2" ht="42" customHeight="1">
      <x:c r="A2" s="59" t="str">
        <x:v>Mundo</x:v>
      </x:c>
      <x:c r="B2" s="60" t="str">
        <x:v>63%</x:v>
      </x:c>
      <x:c r="C2" s="58" t="str">
        <x:v>Lacunas de competências são apontadas como principal barreira à transformação</x:v>
      </x:c>
      <x:c r="D2" s="58" t="str">
        <x:v>O World Economic Forum também projeta mudança em quase 40% das competências essenciais até 2030.</x:v>
      </x:c>
      <x:c r="E2" s="58" t="str">
        <x:v>World Economic Forum — Future of Jobs Report 2025</x:v>
      </x:c>
      <x:c r="F2" s="58" t="str">
        <x:v>https://www.weforum.org/press/2025/01/future-of-jobs-report-2025-78-million-new-job-opportunities-by-2030-but-urgent-upskilling-needed-to-prepare-workforces/</x:v>
      </x:c>
      <x:c r="G2" s="58" t="str">
        <x:v>09/09/2026</x:v>
      </x:c>
      <x:c r="H2" s="58" t="str">
        <x:v>SIM</x:v>
      </x:c>
    </x:row>
    <x:row r="3" ht="42" customHeight="1">
      <x:c r="A3" s="59" t="str">
        <x:v>Mundo</x:v>
      </x:c>
      <x:c r="B3" s="60" t="str">
        <x:v>77%</x:v>
      </x:c>
      <x:c r="C3" s="58" t="str">
        <x:v>Empregadores planejam qualificar trabalhadores em resposta à IA</x:v>
      </x:c>
      <x:c r="D3" s="58" t="str">
        <x:v>Upskilling aparece como uma das respostas centrais à transformação tecnológica.</x:v>
      </x:c>
      <x:c r="E3" s="58" t="str">
        <x:v>World Economic Forum — Future of Jobs Report 2025</x:v>
      </x:c>
      <x:c r="F3" s="58" t="str">
        <x:v>https://www.weforum.org/press/2025/01/future-of-jobs-report-2025-78-million-new-job-opportunities-by-2030-but-urgent-upskilling-needed-to-prepare-workforces/</x:v>
      </x:c>
      <x:c r="G3" s="58" t="str">
        <x:v>09/09/2026</x:v>
      </x:c>
      <x:c r="H3" s="58" t="str">
        <x:v>SIM</x:v>
      </x:c>
    </x:row>
    <x:row r="4" ht="42" customHeight="1">
      <x:c r="A4" s="59" t="str">
        <x:v>Mundo</x:v>
      </x:c>
      <x:c r="B4" s="60" t="str">
        <x:v>&gt;1/3</x:v>
      </x:c>
      <x:c r="C4" s="58" t="str">
        <x:v>Jovens trabalhadores em ocupações com exposição média ou alta à mudança de tarefas por IA</x:v>
      </x:c>
      <x:c r="D4" s="58" t="str">
        <x:v>O WEF destaca impacto crescente da IA nas trajetórias de entrada e desenvolvimento profissional.</x:v>
      </x:c>
      <x:c r="E4" s="58" t="str">
        <x:v>World Economic Forum — AI and the Future of Entry-Level Work, 2026</x:v>
      </x:c>
      <x:c r="F4" s="58" t="str">
        <x:v>https://www.weforum.org/publications/artificial-intelligence-and-the-future-of-entry-level-work-a-framework-for-safeguarding-and-reinventing-early-career-pathways/</x:v>
      </x:c>
      <x:c r="G4" s="58" t="str">
        <x:v>09/09/2026</x:v>
      </x:c>
      <x:c r="H4" s="58" t="str">
        <x:v>SIM</x:v>
      </x:c>
    </x:row>
    <x:row r="5" ht="42" customHeight="1">
      <x:c r="A5" s="59" t="str">
        <x:v>Brasil</x:v>
      </x:c>
      <x:c r="B5" s="60" t="str">
        <x:v>≈90%</x:v>
      </x:c>
      <x:c r="C5" s="58" t="str">
        <x:v>Empresas pretendem desenvolver competências da força de trabalho</x:v>
      </x:c>
      <x:c r="D5" s="58" t="str">
        <x:v>No Brasil, o desenvolvimento de talentos aparece como resposta relevante à mudança do mercado.</x:v>
      </x:c>
      <x:c r="E5" s="58" t="str">
        <x:v>World Economic Forum — Future of Jobs Report 2025, recorte Brasil</x:v>
      </x:c>
      <x:c r="F5" s="58" t="str">
        <x:v>https://www.weforum.org/publications/the-future-of-jobs-report-2025/in-full/5-region-economy-and-industry-insights/</x:v>
      </x:c>
      <x:c r="G5" s="58" t="str">
        <x:v>09/09/2026</x:v>
      </x:c>
      <x:c r="H5" s="58" t="str">
        <x:v>SIM</x:v>
      </x:c>
    </x:row>
    <x:row r="6" ht="42" customHeight="1">
      <x:c r="A6" s="59" t="str">
        <x:v>Brasil</x:v>
      </x:c>
      <x:c r="B6" s="60" t="str">
        <x:v>59,2%</x:v>
      </x:c>
      <x:c r="C6" s="58" t="str">
        <x:v>Empresas industriais usam apenas uma ou duas tecnologias digitais</x:v>
      </x:c>
      <x:c r="D6" s="58" t="str">
        <x:v>A CNI aponta baixa intensidade de digitalização como desafio para a indústria brasileira.</x:v>
      </x:c>
      <x:c r="E6" s="58" t="str">
        <x:v>CNI — Inovação para impulsionar a competitividade industrial no Brasil</x:v>
      </x:c>
      <x:c r="F6" s="58" t="str">
        <x:v>https://www.cni.portaldaindustria.com.br/atuacao/inovacao</x:v>
      </x:c>
      <x:c r="G6" s="58" t="str">
        <x:v>09/09/2026</x:v>
      </x:c>
      <x:c r="H6" s="58" t="str">
        <x:v>SIM</x:v>
      </x:c>
    </x:row>
    <x:row r="7" ht="42" customHeight="1">
      <x:c r="A7" s="59" t="str">
        <x:v>Brasil</x:v>
      </x:c>
      <x:c r="B7" s="60" t="str">
        <x:v>47,6%</x:v>
      </x:c>
      <x:c r="C7" s="58" t="str">
        <x:v>Empresas relatam dificuldades para inovar</x:v>
      </x:c>
      <x:c r="D7" s="58" t="str">
        <x:v>O dado ajuda a distinguir adoção de tecnologia de capacidade efetiva de inovação.</x:v>
      </x:c>
      <x:c r="E7" s="58" t="str">
        <x:v>CNI — Inovação para impulsionar a competitividade industrial no Brasil</x:v>
      </x:c>
      <x:c r="F7" s="58" t="str">
        <x:v>https://www.cni.portaldaindustria.com.br/atuacao/inovacao</x:v>
      </x:c>
      <x:c r="G7" s="58" t="str">
        <x:v>09/09/2026</x:v>
      </x:c>
      <x:c r="H7" s="58" t="str">
        <x:v>SIM</x:v>
      </x:c>
    </x:row>
    <x:row r="8" ht="42" customHeight="1">
      <x:c r="A8" s="59" t="str">
        <x:v>Brasil</x:v>
      </x:c>
      <x:c r="B8" s="60" t="str">
        <x:v>61%</x:v>
      </x:c>
      <x:c r="C8" s="58" t="str">
        <x:v>Indústrias inovaram nos últimos três anos</x:v>
      </x:c>
      <x:c r="D8" s="58" t="str">
        <x:v>Entre as inovadoras, 38% apontaram aumento de produtividade como principal resultado e 69% concentraram esforços em melhoria de processos.</x:v>
      </x:c>
      <x:c r="E8" s="58" t="str">
        <x:v>CNI — Pesquisa de inovação, 25/03/2026</x:v>
      </x:c>
      <x:c r="F8" s="58" t="str">
        <x:v>https://noticias.portaldaindustria.com.br/noticias/inovacao-e-tecnologia/61-das-industrias-no-brasil-inovaram-nos-ultimos-3-anos-revela-cni/</x:v>
      </x:c>
      <x:c r="G8" s="58" t="str">
        <x:v>09/09/2026</x:v>
      </x:c>
      <x:c r="H8" s="58" t="str">
        <x:v>SIM</x:v>
      </x:c>
    </x:row>
    <x:row r="9" ht="42" customHeight="1">
      <x:c r="A9" s="59" t="str">
        <x:v>Brasil</x:v>
      </x:c>
      <x:c r="B9" s="60" t="str">
        <x:v>74% / 9%</x:v>
      </x:c>
      <x:c r="C9" s="58" t="str">
        <x:v>Empresas investiram em máquinas novas em 2025; robotização foi alvo principal de 9%</x:v>
      </x:c>
      <x:c r="D9" s="58" t="str">
        <x:v>Renovação de equipamentos não significa automaticamente transformação tecnológica profunda.</x:v>
      </x:c>
      <x:c r="E9" s="58" t="str">
        <x:v>CNI — Sondagem Especial nº 105, 05/08/2026</x:v>
      </x:c>
      <x:c r="F9" s="58" t="str">
        <x:v>https://imprensa.portaldaindustria.com.br/posicionamentos/cni-industria-compra-maquinas-novas-mas-investimento-em-automatizacao-segue-baixo/</x:v>
      </x:c>
      <x:c r="G9" s="58" t="str">
        <x:v>09/09/2026</x:v>
      </x:c>
      <x:c r="H9" s="58" t="str">
        <x:v>SIM</x:v>
      </x:c>
    </x:row>
  </x:sheetData>
  <x:dataValidations count="1">
    <x:dataValidation type="list" sqref="H2:H9">
      <x:formula1>"SIM,NÃO"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72" t="str">
        <x:v>Data</x:v>
      </x:c>
      <x:c r="B1" t="str">
        <x:v>Lead_ID</x:v>
      </x:c>
      <x:c r="C1" t="str">
        <x:v>Diagnostico_ID</x:v>
      </x:c>
      <x:c r="D1" t="str">
        <x:v>Empresa</x:v>
      </x:c>
      <x:c r="E1" t="str">
        <x:v>Indice_Geral</x:v>
      </x:c>
      <x:c r="F1" t="str">
        <x:v>Nivel</x:v>
      </x:c>
      <x:c r="G1" t="str">
        <x:v>Pessoas</x:v>
      </x:c>
      <x:c r="H1" t="str">
        <x:v>Pensamento_Critico</x:v>
      </x:c>
      <x:c r="I1" t="str">
        <x:v>Decisao</x:v>
      </x:c>
      <x:c r="J1" t="str">
        <x:v>Processos</x:v>
      </x:c>
      <x:c r="K1" t="str">
        <x:v>Tecnologia_IA</x:v>
      </x:c>
      <x:c r="L1" t="str">
        <x:v>Dados</x:v>
      </x:c>
      <x:c r="M1" t="str">
        <x:v>Aprendizagem</x:v>
      </x:c>
      <x:c r="N1" t="str">
        <x:v>Inovacao</x:v>
      </x:c>
      <x:c r="P1" t="str">
        <x:v>Resumo</x:v>
      </x:c>
      <x:c r="Q1" t="str">
        <x:v>Valor</x:v>
      </x:c>
    </x:row>
    <x:row r="2">
      <x:c r="P2" t="str">
        <x:v>Total de avaliações</x:v>
      </x:c>
      <x:c r="Q2" t="n">
        <x:f>COUNT(A2:A1000)</x:f>
        <x:v>0</x:v>
      </x:c>
    </x:row>
    <x:row r="3">
      <x:c r="A3" t="str">
        <x:v>COMO USAR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P3" t="str">
        <x:v>Índice médio</x:v>
      </x:c>
      <x:c r="Q3" t="n">
        <x:f>IFERROR(AVERAGE(E2:E1000),0)</x:f>
        <x:v>0</x:v>
      </x:c>
    </x:row>
    <x:row r="4">
      <x:c r="A4" t="str">
        <x:v>Esta aba recebe automaticamente um registro por diagnóstico. O mesmo Lead_ID pode aparecer em várias linhas, permitindo acompanhar a evolução ao longo do tempo.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P4" t="str">
        <x:v>Maior índice</x:v>
      </x:c>
      <x:c r="Q4" t="n">
        <x:f>IFERROR(MAX(E2:E1000),0)</x:f>
        <x:v>0</x:v>
      </x:c>
    </x:row>
    <x:row r="5">
      <x:c r="A5" t="str">
        <x:v>Leia o histórico por Lead_ID e Data para comparar avaliações. A evolução deve ser observada por índice geral e pelas oito dimensões.</x:v>
      </x:c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/>
      <x:c r="P5" t="str">
        <x:v>Menor índice</x:v>
      </x:c>
      <x:c r="Q5" t="n">
        <x:f>IFERROR(MIN(E2:E1000),0)</x:f>
        <x:v>0</x:v>
      </x:c>
    </x:row>
    <x:row r="6">
      <x:c r="A6" t="str">
        <x:v>Fonte dos registros: Google Apps Script do Radar de Evolução.</x:v>
      </x:c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/>
    </x:row>
  </x:sheetData>
  <x:pageMargins left="0.7" right="0.7" top="0.75" bottom="0.75" header="0.3" footer="0.3"/>
</x:worksheet>
</file>